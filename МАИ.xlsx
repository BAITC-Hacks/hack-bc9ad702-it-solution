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zzatzhaukhanova/Downloads/"/>
    </mc:Choice>
  </mc:AlternateContent>
  <xr:revisionPtr revIDLastSave="0" documentId="13_ncr:1_{A9F70A7B-2016-1B4B-BC73-B164B624114F}" xr6:coauthVersionLast="47" xr6:coauthVersionMax="47" xr10:uidLastSave="{00000000-0000-0000-0000-000000000000}"/>
  <bookViews>
    <workbookView xWindow="5760" yWindow="3400" windowWidth="18960" windowHeight="12120" xr2:uid="{00000000-000D-0000-FFFF-FFFF00000000}"/>
  </bookViews>
  <sheets>
    <sheet name="Лист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1" i="5" l="1"/>
  <c r="I247" i="5" s="1"/>
  <c r="B22" i="5"/>
  <c r="H22" i="5"/>
  <c r="B23" i="5"/>
  <c r="C23" i="5"/>
  <c r="D23" i="5"/>
  <c r="E23" i="5"/>
  <c r="F23" i="5"/>
  <c r="G23" i="5"/>
  <c r="D229" i="5"/>
  <c r="C228" i="5"/>
  <c r="C229" i="5" s="1"/>
  <c r="B228" i="5"/>
  <c r="E228" i="5" s="1"/>
  <c r="B227" i="5"/>
  <c r="E226" i="5"/>
  <c r="D217" i="5"/>
  <c r="C216" i="5"/>
  <c r="C217" i="5" s="1"/>
  <c r="B216" i="5"/>
  <c r="B215" i="5"/>
  <c r="E214" i="5"/>
  <c r="D205" i="5"/>
  <c r="C204" i="5"/>
  <c r="C205" i="5" s="1"/>
  <c r="B204" i="5"/>
  <c r="B203" i="5"/>
  <c r="E202" i="5"/>
  <c r="D190" i="5"/>
  <c r="C189" i="5"/>
  <c r="C190" i="5" s="1"/>
  <c r="B189" i="5"/>
  <c r="B188" i="5"/>
  <c r="E187" i="5"/>
  <c r="D186" i="5"/>
  <c r="C186" i="5"/>
  <c r="B186" i="5"/>
  <c r="D177" i="5"/>
  <c r="C176" i="5"/>
  <c r="C177" i="5" s="1"/>
  <c r="B176" i="5"/>
  <c r="E176" i="5" s="1"/>
  <c r="B175" i="5"/>
  <c r="E174" i="5"/>
  <c r="D173" i="5"/>
  <c r="C173" i="5"/>
  <c r="B173" i="5"/>
  <c r="D164" i="5"/>
  <c r="C163" i="5"/>
  <c r="C164" i="5" s="1"/>
  <c r="B163" i="5"/>
  <c r="E163" i="5" s="1"/>
  <c r="B162" i="5"/>
  <c r="E161" i="5"/>
  <c r="D160" i="5"/>
  <c r="C160" i="5"/>
  <c r="B160" i="5"/>
  <c r="D152" i="5"/>
  <c r="C151" i="5"/>
  <c r="C152" i="5" s="1"/>
  <c r="B151" i="5"/>
  <c r="E151" i="5" s="1"/>
  <c r="B150" i="5"/>
  <c r="E149" i="5"/>
  <c r="D148" i="5"/>
  <c r="C148" i="5"/>
  <c r="B148" i="5"/>
  <c r="D140" i="5"/>
  <c r="C139" i="5"/>
  <c r="C140" i="5" s="1"/>
  <c r="B139" i="5"/>
  <c r="E139" i="5" s="1"/>
  <c r="B138" i="5"/>
  <c r="E137" i="5"/>
  <c r="D136" i="5"/>
  <c r="C136" i="5"/>
  <c r="B136" i="5"/>
  <c r="D128" i="5"/>
  <c r="C127" i="5"/>
  <c r="C128" i="5" s="1"/>
  <c r="B127" i="5"/>
  <c r="E127" i="5" s="1"/>
  <c r="B126" i="5"/>
  <c r="E125" i="5"/>
  <c r="D124" i="5"/>
  <c r="C124" i="5"/>
  <c r="B124" i="5"/>
  <c r="D116" i="5"/>
  <c r="C115" i="5"/>
  <c r="C116" i="5" s="1"/>
  <c r="B115" i="5"/>
  <c r="E115" i="5" s="1"/>
  <c r="B114" i="5"/>
  <c r="E113" i="5"/>
  <c r="D112" i="5"/>
  <c r="C112" i="5"/>
  <c r="B112" i="5"/>
  <c r="D104" i="5"/>
  <c r="C103" i="5"/>
  <c r="C104" i="5" s="1"/>
  <c r="B103" i="5"/>
  <c r="E103" i="5" s="1"/>
  <c r="B102" i="5"/>
  <c r="E101" i="5"/>
  <c r="D100" i="5"/>
  <c r="C100" i="5"/>
  <c r="B100" i="5"/>
  <c r="D92" i="5"/>
  <c r="C91" i="5"/>
  <c r="C92" i="5" s="1"/>
  <c r="B91" i="5"/>
  <c r="E91" i="5" s="1"/>
  <c r="B90" i="5"/>
  <c r="E89" i="5"/>
  <c r="D88" i="5"/>
  <c r="C88" i="5"/>
  <c r="B88" i="5"/>
  <c r="D80" i="5"/>
  <c r="C79" i="5"/>
  <c r="C80" i="5" s="1"/>
  <c r="B79" i="5"/>
  <c r="E79" i="5" s="1"/>
  <c r="B78" i="5"/>
  <c r="E77" i="5"/>
  <c r="D76" i="5"/>
  <c r="C76" i="5"/>
  <c r="B76" i="5"/>
  <c r="F67" i="5"/>
  <c r="E67" i="5"/>
  <c r="D67" i="5"/>
  <c r="C67" i="5"/>
  <c r="B66" i="5"/>
  <c r="G65" i="5"/>
  <c r="C64" i="5"/>
  <c r="B64" i="5"/>
  <c r="D56" i="5"/>
  <c r="C56" i="5"/>
  <c r="B55" i="5"/>
  <c r="E54" i="5"/>
  <c r="C53" i="5"/>
  <c r="B53" i="5"/>
  <c r="G45" i="5"/>
  <c r="F45" i="5"/>
  <c r="E45" i="5"/>
  <c r="D45" i="5"/>
  <c r="B44" i="5"/>
  <c r="H43" i="5"/>
  <c r="C42" i="5"/>
  <c r="B42" i="5"/>
  <c r="E34" i="5"/>
  <c r="D34" i="5"/>
  <c r="C34" i="5"/>
  <c r="B33" i="5"/>
  <c r="F32" i="5"/>
  <c r="C31" i="5"/>
  <c r="B31" i="5"/>
  <c r="H21" i="5"/>
  <c r="C20" i="5"/>
  <c r="B20" i="5"/>
  <c r="F10" i="5"/>
  <c r="E9" i="5"/>
  <c r="E10" i="5" s="1"/>
  <c r="D9" i="5"/>
  <c r="C9" i="5"/>
  <c r="B9" i="5"/>
  <c r="G9" i="5" s="1"/>
  <c r="D8" i="5"/>
  <c r="D10" i="5" s="1"/>
  <c r="C8" i="5"/>
  <c r="B8" i="5"/>
  <c r="G8" i="5" s="1"/>
  <c r="C7" i="5"/>
  <c r="C10" i="5" s="1"/>
  <c r="B7" i="5"/>
  <c r="G7" i="5" s="1"/>
  <c r="B6" i="5"/>
  <c r="G5" i="5"/>
  <c r="F4" i="5"/>
  <c r="E4" i="5"/>
  <c r="D4" i="5"/>
  <c r="C4" i="5"/>
  <c r="B4" i="5"/>
  <c r="E189" i="5" l="1"/>
  <c r="H23" i="5"/>
  <c r="E216" i="5"/>
  <c r="C45" i="5"/>
  <c r="E204" i="5"/>
  <c r="B104" i="5"/>
  <c r="E102" i="5"/>
  <c r="E104" i="5" s="1"/>
  <c r="F101" i="5" s="1"/>
  <c r="B152" i="5"/>
  <c r="E150" i="5"/>
  <c r="E152" i="5" s="1"/>
  <c r="F149" i="5" s="1"/>
  <c r="B80" i="5"/>
  <c r="E78" i="5"/>
  <c r="E80" i="5" s="1"/>
  <c r="F78" i="5" s="1"/>
  <c r="B229" i="5"/>
  <c r="E227" i="5"/>
  <c r="E229" i="5" s="1"/>
  <c r="E215" i="5"/>
  <c r="B217" i="5"/>
  <c r="B205" i="5"/>
  <c r="E203" i="5"/>
  <c r="E188" i="5"/>
  <c r="B190" i="5"/>
  <c r="B177" i="5"/>
  <c r="E175" i="5"/>
  <c r="E177" i="5" s="1"/>
  <c r="E162" i="5"/>
  <c r="E164" i="5" s="1"/>
  <c r="B164" i="5"/>
  <c r="E138" i="5"/>
  <c r="E140" i="5" s="1"/>
  <c r="B140" i="5"/>
  <c r="E126" i="5"/>
  <c r="E128" i="5" s="1"/>
  <c r="B128" i="5"/>
  <c r="E114" i="5"/>
  <c r="E116" i="5" s="1"/>
  <c r="B116" i="5"/>
  <c r="E90" i="5"/>
  <c r="B92" i="5"/>
  <c r="E92" i="5"/>
  <c r="G66" i="5"/>
  <c r="B67" i="5"/>
  <c r="B56" i="5"/>
  <c r="E55" i="5"/>
  <c r="E56" i="5" s="1"/>
  <c r="H44" i="5"/>
  <c r="B45" i="5"/>
  <c r="B34" i="5"/>
  <c r="F33" i="5"/>
  <c r="F34" i="5" s="1"/>
  <c r="G32" i="5" s="1"/>
  <c r="I32" i="5" s="1"/>
  <c r="B10" i="5"/>
  <c r="G6" i="5"/>
  <c r="G10" i="5" s="1"/>
  <c r="H5" i="5" s="1"/>
  <c r="J5" i="5" s="1"/>
  <c r="E190" i="5" l="1"/>
  <c r="E217" i="5"/>
  <c r="I22" i="5"/>
  <c r="I21" i="5"/>
  <c r="G67" i="5"/>
  <c r="H66" i="5" s="1"/>
  <c r="H45" i="5"/>
  <c r="J22" i="5"/>
  <c r="K22" i="5"/>
  <c r="F189" i="5"/>
  <c r="F187" i="5"/>
  <c r="E205" i="5"/>
  <c r="F174" i="5"/>
  <c r="F176" i="5"/>
  <c r="F125" i="5"/>
  <c r="F127" i="5"/>
  <c r="H6" i="5"/>
  <c r="G149" i="5"/>
  <c r="H241" i="5"/>
  <c r="H149" i="5"/>
  <c r="F150" i="5"/>
  <c r="F151" i="5"/>
  <c r="F103" i="5"/>
  <c r="F102" i="5"/>
  <c r="G101" i="5"/>
  <c r="D241" i="5"/>
  <c r="H101" i="5"/>
  <c r="G78" i="5"/>
  <c r="B242" i="5"/>
  <c r="H78" i="5"/>
  <c r="F77" i="5"/>
  <c r="F79" i="5"/>
  <c r="H7" i="5"/>
  <c r="H8" i="5"/>
  <c r="H9" i="5"/>
  <c r="F126" i="5"/>
  <c r="F188" i="5"/>
  <c r="F175" i="5"/>
  <c r="F162" i="5"/>
  <c r="F138" i="5"/>
  <c r="F114" i="5"/>
  <c r="F55" i="5"/>
  <c r="F227" i="5"/>
  <c r="F215" i="5"/>
  <c r="F90" i="5"/>
  <c r="H32" i="5"/>
  <c r="G33" i="5"/>
  <c r="I5" i="5"/>
  <c r="F228" i="5"/>
  <c r="F226" i="5"/>
  <c r="F216" i="5"/>
  <c r="F214" i="5"/>
  <c r="F163" i="5"/>
  <c r="F161" i="5"/>
  <c r="F139" i="5"/>
  <c r="F137" i="5"/>
  <c r="F115" i="5"/>
  <c r="F113" i="5"/>
  <c r="F91" i="5"/>
  <c r="F89" i="5"/>
  <c r="F54" i="5"/>
  <c r="I43" i="5" l="1"/>
  <c r="I44" i="5"/>
  <c r="H65" i="5"/>
  <c r="G189" i="5"/>
  <c r="K243" i="5"/>
  <c r="H189" i="5"/>
  <c r="H187" i="5"/>
  <c r="K241" i="5"/>
  <c r="G187" i="5"/>
  <c r="J241" i="5"/>
  <c r="H174" i="5"/>
  <c r="G174" i="5"/>
  <c r="H176" i="5"/>
  <c r="J243" i="5"/>
  <c r="G176" i="5"/>
  <c r="H125" i="5"/>
  <c r="F241" i="5"/>
  <c r="G125" i="5"/>
  <c r="F243" i="5"/>
  <c r="G127" i="5"/>
  <c r="H127" i="5"/>
  <c r="K21" i="5"/>
  <c r="J21" i="5"/>
  <c r="J23" i="5"/>
  <c r="B26" i="5" s="1"/>
  <c r="B28" i="5" s="1"/>
  <c r="K23" i="5"/>
  <c r="J6" i="5"/>
  <c r="I6" i="5"/>
  <c r="F203" i="5"/>
  <c r="F202" i="5"/>
  <c r="F204" i="5"/>
  <c r="G150" i="5"/>
  <c r="H150" i="5"/>
  <c r="H242" i="5"/>
  <c r="G151" i="5"/>
  <c r="H243" i="5"/>
  <c r="H151" i="5"/>
  <c r="H103" i="5"/>
  <c r="D243" i="5"/>
  <c r="G103" i="5"/>
  <c r="H102" i="5"/>
  <c r="H104" i="5" s="1"/>
  <c r="D242" i="5"/>
  <c r="G102" i="5"/>
  <c r="G104" i="5" s="1"/>
  <c r="B107" i="5" s="1"/>
  <c r="B109" i="5" s="1"/>
  <c r="H77" i="5"/>
  <c r="B241" i="5"/>
  <c r="G77" i="5"/>
  <c r="G79" i="5"/>
  <c r="B243" i="5"/>
  <c r="H79" i="5"/>
  <c r="I7" i="5"/>
  <c r="J7" i="5"/>
  <c r="I8" i="5"/>
  <c r="J8" i="5"/>
  <c r="J9" i="5"/>
  <c r="I9" i="5"/>
  <c r="F242" i="5"/>
  <c r="H126" i="5"/>
  <c r="G126" i="5"/>
  <c r="G128" i="5" s="1"/>
  <c r="B131" i="5" s="1"/>
  <c r="B133" i="5" s="1"/>
  <c r="K242" i="5"/>
  <c r="H188" i="5"/>
  <c r="H190" i="5" s="1"/>
  <c r="G188" i="5"/>
  <c r="G190" i="5" s="1"/>
  <c r="B193" i="5" s="1"/>
  <c r="B195" i="5" s="1"/>
  <c r="H175" i="5"/>
  <c r="H177" i="5" s="1"/>
  <c r="J242" i="5"/>
  <c r="G175" i="5"/>
  <c r="G177" i="5" s="1"/>
  <c r="B180" i="5" s="1"/>
  <c r="B182" i="5" s="1"/>
  <c r="H162" i="5"/>
  <c r="I242" i="5"/>
  <c r="G162" i="5"/>
  <c r="G242" i="5"/>
  <c r="H138" i="5"/>
  <c r="G138" i="5"/>
  <c r="H114" i="5"/>
  <c r="E242" i="5"/>
  <c r="G114" i="5"/>
  <c r="J66" i="5"/>
  <c r="I66" i="5"/>
  <c r="H55" i="5"/>
  <c r="G55" i="5"/>
  <c r="D248" i="5"/>
  <c r="H227" i="5"/>
  <c r="G227" i="5"/>
  <c r="C248" i="5"/>
  <c r="H215" i="5"/>
  <c r="G215" i="5"/>
  <c r="C242" i="5"/>
  <c r="H90" i="5"/>
  <c r="G90" i="5"/>
  <c r="I33" i="5"/>
  <c r="H33" i="5"/>
  <c r="G228" i="5"/>
  <c r="H228" i="5"/>
  <c r="D249" i="5"/>
  <c r="G226" i="5"/>
  <c r="D247" i="5"/>
  <c r="H226" i="5"/>
  <c r="G216" i="5"/>
  <c r="H216" i="5"/>
  <c r="C249" i="5"/>
  <c r="C247" i="5"/>
  <c r="H214" i="5"/>
  <c r="G214" i="5"/>
  <c r="I243" i="5"/>
  <c r="H163" i="5"/>
  <c r="G163" i="5"/>
  <c r="G161" i="5"/>
  <c r="I241" i="5"/>
  <c r="H161" i="5"/>
  <c r="H139" i="5"/>
  <c r="G243" i="5"/>
  <c r="G139" i="5"/>
  <c r="G241" i="5"/>
  <c r="H137" i="5"/>
  <c r="G137" i="5"/>
  <c r="G115" i="5"/>
  <c r="H115" i="5"/>
  <c r="E243" i="5"/>
  <c r="G113" i="5"/>
  <c r="H113" i="5"/>
  <c r="E241" i="5"/>
  <c r="C243" i="5"/>
  <c r="H91" i="5"/>
  <c r="G91" i="5"/>
  <c r="G89" i="5"/>
  <c r="C241" i="5"/>
  <c r="H89" i="5"/>
  <c r="G54" i="5"/>
  <c r="H54" i="5"/>
  <c r="H128" i="5" l="1"/>
  <c r="J65" i="5"/>
  <c r="J67" i="5" s="1"/>
  <c r="I65" i="5"/>
  <c r="I67" i="5" s="1"/>
  <c r="B70" i="5" s="1"/>
  <c r="B72" i="5" s="1"/>
  <c r="K43" i="5"/>
  <c r="J43" i="5"/>
  <c r="J44" i="5"/>
  <c r="J45" i="5" s="1"/>
  <c r="B48" i="5" s="1"/>
  <c r="B50" i="5" s="1"/>
  <c r="K44" i="5"/>
  <c r="K45" i="5" s="1"/>
  <c r="B248" i="5"/>
  <c r="H203" i="5"/>
  <c r="G203" i="5"/>
  <c r="G202" i="5"/>
  <c r="B247" i="5"/>
  <c r="H202" i="5"/>
  <c r="G204" i="5"/>
  <c r="H204" i="5"/>
  <c r="B249" i="5"/>
  <c r="I34" i="5"/>
  <c r="H34" i="5"/>
  <c r="B37" i="5" s="1"/>
  <c r="B39" i="5" s="1"/>
  <c r="G229" i="5"/>
  <c r="B232" i="5" s="1"/>
  <c r="B234" i="5" s="1"/>
  <c r="H229" i="5"/>
  <c r="H217" i="5"/>
  <c r="G217" i="5"/>
  <c r="B220" i="5" s="1"/>
  <c r="B222" i="5" s="1"/>
  <c r="G164" i="5"/>
  <c r="B167" i="5" s="1"/>
  <c r="B169" i="5" s="1"/>
  <c r="H164" i="5"/>
  <c r="H140" i="5"/>
  <c r="G140" i="5"/>
  <c r="B143" i="5" s="1"/>
  <c r="B145" i="5" s="1"/>
  <c r="G116" i="5"/>
  <c r="B119" i="5" s="1"/>
  <c r="B121" i="5" s="1"/>
  <c r="H116" i="5"/>
  <c r="G92" i="5"/>
  <c r="B95" i="5" s="1"/>
  <c r="B97" i="5" s="1"/>
  <c r="H152" i="5"/>
  <c r="I10" i="5"/>
  <c r="B13" i="5" s="1"/>
  <c r="B15" i="5" s="1"/>
  <c r="H92" i="5"/>
  <c r="G56" i="5"/>
  <c r="B59" i="5" s="1"/>
  <c r="B61" i="5" s="1"/>
  <c r="H56" i="5"/>
  <c r="G152" i="5"/>
  <c r="B155" i="5" s="1"/>
  <c r="B157" i="5" s="1"/>
  <c r="H80" i="5"/>
  <c r="G80" i="5"/>
  <c r="B83" i="5" s="1"/>
  <c r="B85" i="5" s="1"/>
  <c r="J10" i="5"/>
  <c r="H205" i="5" l="1"/>
  <c r="G205" i="5"/>
  <c r="B208" i="5" s="1"/>
  <c r="B210" i="5" s="1"/>
  <c r="M242" i="5"/>
  <c r="M243" i="5"/>
  <c r="I248" i="5" l="1"/>
  <c r="J248" i="5" s="1"/>
  <c r="I249" i="5"/>
  <c r="J249" i="5" s="1"/>
  <c r="I250" i="5" l="1"/>
  <c r="J247" i="5"/>
  <c r="J250" i="5" s="1"/>
</calcChain>
</file>

<file path=xl/sharedStrings.xml><?xml version="1.0" encoding="utf-8"?>
<sst xmlns="http://schemas.openxmlformats.org/spreadsheetml/2006/main" count="241" uniqueCount="61">
  <si>
    <t>Приоритеты сценариев</t>
  </si>
  <si>
    <t xml:space="preserve"> 1. Влияние общих факторов</t>
  </si>
  <si>
    <t>Нормализованный собственный вектор</t>
  </si>
  <si>
    <t>Удельные веса</t>
  </si>
  <si>
    <t>n=</t>
  </si>
  <si>
    <t>ИС (индекс согласованности)=</t>
  </si>
  <si>
    <t xml:space="preserve">СИ (случайный индекс)= </t>
  </si>
  <si>
    <t>ОС (отношение согласованности)=</t>
  </si>
  <si>
    <t>Приоритеты акторов</t>
  </si>
  <si>
    <t>общий рейтинг</t>
  </si>
  <si>
    <r>
      <t>l</t>
    </r>
    <r>
      <rPr>
        <b/>
        <vertAlign val="subscript"/>
        <sz val="10"/>
        <rFont val="Times New Roman"/>
        <family val="1"/>
        <charset val="204"/>
      </rPr>
      <t xml:space="preserve">max </t>
    </r>
    <r>
      <rPr>
        <b/>
        <sz val="10"/>
        <rFont val="Times New Roman"/>
        <family val="1"/>
        <charset val="204"/>
      </rPr>
      <t>=</t>
    </r>
  </si>
  <si>
    <t>3. Влияние акторов на (A)</t>
  </si>
  <si>
    <t>Жоғары</t>
  </si>
  <si>
    <t>Орташа</t>
  </si>
  <si>
    <t>Төмен</t>
  </si>
  <si>
    <t>4. Влияние сценариев на акторы</t>
  </si>
  <si>
    <t>Газойль</t>
  </si>
  <si>
    <t>Керосин</t>
  </si>
  <si>
    <t>Лигроин</t>
  </si>
  <si>
    <t>Бензин</t>
  </si>
  <si>
    <t>Мазут</t>
  </si>
  <si>
    <t>Сера</t>
  </si>
  <si>
    <t>Водород</t>
  </si>
  <si>
    <t>Углерод</t>
  </si>
  <si>
    <t>Көлік (Т)</t>
  </si>
  <si>
    <t>Экология (Е)</t>
  </si>
  <si>
    <t>Әлеуметтік инфрақұрылым (S)</t>
  </si>
  <si>
    <t>Қауіпсіздік (B)</t>
  </si>
  <si>
    <t>Қалалық сервистер (C)</t>
  </si>
  <si>
    <t xml:space="preserve">2. Влияние частных факторов первого уровня на Astana Quality of Life Score (A)
</t>
  </si>
  <si>
    <t>2.1. Көлік (Т)</t>
  </si>
  <si>
    <t>2.2. Экология (Е)</t>
  </si>
  <si>
    <t>2.3. Әлеуметтік инфрақұрылым (S)</t>
  </si>
  <si>
    <t xml:space="preserve">2.4. Қауіпсіздік (B)
</t>
  </si>
  <si>
    <t xml:space="preserve">2.5. Қалалық сервистер (C)
</t>
  </si>
  <si>
    <t>Жолдардың жүктемесін азайту (D1)</t>
  </si>
  <si>
    <t>Қоғамдық көліктің қолжетімділігі (D2)</t>
  </si>
  <si>
    <t>Көгалдандыру (D3)</t>
  </si>
  <si>
    <t>Ауа сапасы (D4)</t>
  </si>
  <si>
    <t>Мектептер мен балабақшалар (D5)</t>
  </si>
  <si>
    <t>Емханалар және алғашқы медициналық көмек (D6)</t>
  </si>
  <si>
    <t>Көше қауіпсіздігі (D7)</t>
  </si>
  <si>
    <t>Жол қозғалысының қауіпсіздігі (D8)</t>
  </si>
  <si>
    <t>ТКШ сенімділігі (D9)</t>
  </si>
  <si>
    <t>Тұрғындардың өтініштерін шешу жылдамдығы (D10)</t>
  </si>
  <si>
    <t>3.1. Жолдардың жүктемесін азайту</t>
  </si>
  <si>
    <t xml:space="preserve">Автобустар үшін арнайы жолақтар енгізу </t>
  </si>
  <si>
    <t xml:space="preserve">Адаптивті басқарылатын ақылды бағдаршамдарды енгізу </t>
  </si>
  <si>
    <t xml:space="preserve">ЛРТ желісін салу немесе кеңейту </t>
  </si>
  <si>
    <t xml:space="preserve">3.2. Қоғамдық көліктің қолжетімділігі </t>
  </si>
  <si>
    <t>3.3. Көгалдандыру</t>
  </si>
  <si>
    <t>3.4. Ауа сапасы</t>
  </si>
  <si>
    <t>3.5. Мектептер мен балабақшалар</t>
  </si>
  <si>
    <t>3.6. Емханалар және алғашқы медициналық көмек</t>
  </si>
  <si>
    <t>3.7. Көше қауіпсіздігі</t>
  </si>
  <si>
    <t>3.8. Жол қозғалысының қауіпсіздігі</t>
  </si>
  <si>
    <t>3.9. ТКШ сенімділігі</t>
  </si>
  <si>
    <t>3.10. Тұрғындардың өтініштерін шешу жылдамдығы</t>
  </si>
  <si>
    <t xml:space="preserve">4.1. Автобустар үшін арнайы жолақтар енгізу </t>
  </si>
  <si>
    <t xml:space="preserve">4.2. Адаптивті басқарылатын ақылды бағдаршамдарды енгізу </t>
  </si>
  <si>
    <t xml:space="preserve">4.3. ЛРТ желісін салу немесе кеңейту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</si>
</sst>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%"/>
  </numFmts>
  <fonts count="9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sz val="10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3" xfId="1" applyFont="1" applyBorder="1"/>
    <xf numFmtId="165" fontId="3" fillId="0" borderId="0" xfId="0" applyNumberFormat="1" applyFont="1"/>
    <xf numFmtId="0" fontId="2" fillId="0" borderId="3" xfId="1" applyFont="1" applyBorder="1" applyAlignment="1">
      <alignment textRotation="90" wrapText="1"/>
    </xf>
    <xf numFmtId="0" fontId="2" fillId="0" borderId="3" xfId="1" applyFont="1" applyBorder="1" applyAlignment="1">
      <alignment wrapText="1"/>
    </xf>
    <xf numFmtId="0" fontId="2" fillId="0" borderId="0" xfId="1" applyFont="1" applyAlignment="1">
      <alignment wrapText="1"/>
    </xf>
    <xf numFmtId="0" fontId="6" fillId="0" borderId="0" xfId="0" applyFont="1"/>
    <xf numFmtId="164" fontId="6" fillId="0" borderId="3" xfId="0" applyNumberFormat="1" applyFont="1" applyBorder="1"/>
    <xf numFmtId="164" fontId="6" fillId="0" borderId="0" xfId="0" applyNumberFormat="1" applyFont="1"/>
    <xf numFmtId="164" fontId="6" fillId="2" borderId="3" xfId="0" applyNumberFormat="1" applyFont="1" applyFill="1" applyBorder="1"/>
    <xf numFmtId="164" fontId="4" fillId="0" borderId="0" xfId="0" applyNumberFormat="1" applyFont="1"/>
    <xf numFmtId="165" fontId="6" fillId="0" borderId="0" xfId="0" applyNumberFormat="1" applyFont="1"/>
    <xf numFmtId="0" fontId="6" fillId="0" borderId="3" xfId="0" applyFont="1" applyBorder="1" applyAlignment="1">
      <alignment textRotation="90" wrapText="1"/>
    </xf>
    <xf numFmtId="0" fontId="5" fillId="0" borderId="0" xfId="0" applyFont="1"/>
    <xf numFmtId="0" fontId="5" fillId="0" borderId="1" xfId="0" applyFont="1" applyBorder="1"/>
    <xf numFmtId="1" fontId="6" fillId="0" borderId="0" xfId="0" applyNumberFormat="1" applyFont="1"/>
    <xf numFmtId="0" fontId="6" fillId="0" borderId="0" xfId="0" applyFont="1" applyAlignment="1">
      <alignment wrapText="1"/>
    </xf>
    <xf numFmtId="164" fontId="8" fillId="0" borderId="0" xfId="0" applyNumberFormat="1" applyFont="1"/>
    <xf numFmtId="0" fontId="6" fillId="0" borderId="0" xfId="0" applyFont="1" applyAlignment="1">
      <alignment horizontal="center" textRotation="90" wrapText="1"/>
    </xf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wrapText="1"/>
    </xf>
    <xf numFmtId="0" fontId="2" fillId="4" borderId="0" xfId="0" applyFont="1" applyFill="1"/>
    <xf numFmtId="0" fontId="6" fillId="0" borderId="1" xfId="0" applyFont="1" applyBorder="1"/>
    <xf numFmtId="2" fontId="6" fillId="0" borderId="0" xfId="0" applyNumberFormat="1" applyFont="1"/>
    <xf numFmtId="0" fontId="2" fillId="0" borderId="3" xfId="1" applyFont="1" applyBorder="1" applyAlignment="1">
      <alignment horizontal="right" vertical="center" wrapText="1"/>
    </xf>
    <xf numFmtId="0" fontId="2" fillId="0" borderId="2" xfId="1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1" applyFont="1" applyBorder="1" applyAlignment="1">
      <alignment horizontal="center" textRotation="90" wrapText="1"/>
    </xf>
    <xf numFmtId="0" fontId="6" fillId="0" borderId="3" xfId="0" applyFont="1" applyBorder="1" applyAlignment="1">
      <alignment horizontal="center" textRotation="90" wrapText="1"/>
    </xf>
    <xf numFmtId="2" fontId="6" fillId="0" borderId="3" xfId="0" applyNumberFormat="1" applyFont="1" applyBorder="1"/>
    <xf numFmtId="2" fontId="6" fillId="2" borderId="3" xfId="0" applyNumberFormat="1" applyFont="1" applyFill="1" applyBorder="1"/>
    <xf numFmtId="2" fontId="6" fillId="3" borderId="3" xfId="0" applyNumberFormat="1" applyFont="1" applyFill="1" applyBorder="1"/>
    <xf numFmtId="0" fontId="2" fillId="4" borderId="0" xfId="0" applyFont="1" applyFill="1" applyAlignment="1">
      <alignment vertical="center"/>
    </xf>
    <xf numFmtId="164" fontId="6" fillId="0" borderId="0" xfId="0" applyNumberFormat="1" applyFont="1" applyAlignment="1">
      <alignment horizontal="center"/>
    </xf>
    <xf numFmtId="0" fontId="5" fillId="0" borderId="1" xfId="0" applyFont="1" applyBorder="1" applyAlignment="1">
      <alignment wrapText="1"/>
    </xf>
    <xf numFmtId="0" fontId="2" fillId="0" borderId="3" xfId="1" applyFont="1" applyBorder="1" applyAlignment="1">
      <alignment horizontal="right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Тапсырма</a:t>
            </a:r>
            <a:r>
              <a:rPr lang="ru-RU" baseline="0"/>
              <a:t> н</a:t>
            </a:r>
            <a:r>
              <a:rPr lang="ru-RU"/>
              <a:t>әтижесі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591-6540-BD6A-2F7E56618E7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591-6540-BD6A-2F7E56618E7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591-6540-BD6A-2F7E56618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1732783"/>
        <c:axId val="1903049663"/>
      </c:barChart>
      <c:catAx>
        <c:axId val="181173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3049663"/>
        <c:crosses val="autoZero"/>
        <c:auto val="1"/>
        <c:lblAlgn val="ctr"/>
        <c:lblOffset val="100"/>
        <c:noMultiLvlLbl val="0"/>
      </c:catAx>
      <c:valAx>
        <c:axId val="190304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173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 baseline="0"/>
              <a:t>Акторлардың басымдықтары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01E-FA4D-B1A3-27981DC99EF5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01E-FA4D-B1A3-27981DC99EF5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01E-FA4D-B1A3-27981DC99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1170335"/>
        <c:axId val="1991816175"/>
        <c:axId val="0"/>
      </c:bar3DChart>
      <c:catAx>
        <c:axId val="199117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1816175"/>
        <c:crosses val="autoZero"/>
        <c:auto val="1"/>
        <c:lblAlgn val="ctr"/>
        <c:lblOffset val="100"/>
        <c:noMultiLvlLbl val="0"/>
      </c:catAx>
      <c:valAx>
        <c:axId val="199181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117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645484</xdr:colOff>
      <xdr:row>272</xdr:row>
      <xdr:rowOff>68681</xdr:rowOff>
    </xdr:from>
    <xdr:to>
      <xdr:col>4</xdr:col>
      <xdr:colOff>566259</xdr:colOff>
      <xdr:row>289</xdr:row>
      <xdr:rowOff>1107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5421AC9-A92E-FE4F-9057-CD19B26FE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694853</xdr:colOff>
      <xdr:row>272</xdr:row>
      <xdr:rowOff>88043</xdr:rowOff>
    </xdr:from>
    <xdr:to>
      <xdr:col>11</xdr:col>
      <xdr:colOff>473674</xdr:colOff>
      <xdr:row>293</xdr:row>
      <xdr:rowOff>31751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87B1095-C7C8-1F4D-A490-01E55407D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E1BE-A816-E344-9977-1F480DA6A40B}">
  <dimension ref="A2:P256"/>
  <sheetViews>
    <sheetView tabSelected="1" topLeftCell="A217" zoomScale="50" workbookViewId="0">
      <selection activeCell="D14" sqref="D14"/>
    </sheetView>
  </sheetViews>
  <sheetFormatPr baseColWidth="10" defaultColWidth="9.1640625" defaultRowHeight="13"/>
  <cols>
    <col min="1" max="1" width="44.6640625" style="6" customWidth="1"/>
    <col min="2" max="2" width="31.83203125" style="6" bestFit="1" customWidth="1"/>
    <col min="3" max="3" width="43.5" style="6" bestFit="1" customWidth="1"/>
    <col min="4" max="4" width="25.6640625" style="6" bestFit="1" customWidth="1"/>
    <col min="5" max="5" width="8.5" style="6" bestFit="1" customWidth="1"/>
    <col min="6" max="6" width="10.5" style="6" bestFit="1" customWidth="1"/>
    <col min="7" max="7" width="7.5" style="6" bestFit="1" customWidth="1"/>
    <col min="8" max="8" width="11" style="6" bestFit="1" customWidth="1"/>
    <col min="9" max="9" width="12.33203125" style="6" customWidth="1"/>
    <col min="10" max="10" width="11.5" style="6" customWidth="1"/>
    <col min="11" max="11" width="11" style="6" bestFit="1" customWidth="1"/>
    <col min="12" max="16384" width="9.1640625" style="6"/>
  </cols>
  <sheetData>
    <row r="2" spans="1:11">
      <c r="A2" s="13" t="s">
        <v>1</v>
      </c>
    </row>
    <row r="4" spans="1:11" ht="108" customHeight="1">
      <c r="A4" s="1"/>
      <c r="B4" s="27" t="str">
        <f>A5</f>
        <v>Көлік (Т)</v>
      </c>
      <c r="C4" s="27" t="str">
        <f>A6</f>
        <v>Экология (Е)</v>
      </c>
      <c r="D4" s="27" t="str">
        <f>A7</f>
        <v>Әлеуметтік инфрақұрылым (S)</v>
      </c>
      <c r="E4" s="27" t="str">
        <f>A8</f>
        <v>Қауіпсіздік (B)</v>
      </c>
      <c r="F4" s="28" t="str">
        <f>A9</f>
        <v>Қалалық сервистер (C)</v>
      </c>
      <c r="H4" s="18" t="s">
        <v>2</v>
      </c>
      <c r="J4" s="18" t="s">
        <v>3</v>
      </c>
    </row>
    <row r="5" spans="1:11" ht="14">
      <c r="A5" s="24" t="s">
        <v>24</v>
      </c>
      <c r="B5" s="29">
        <v>1</v>
      </c>
      <c r="C5" s="29">
        <v>4</v>
      </c>
      <c r="D5" s="29">
        <v>5</v>
      </c>
      <c r="E5" s="29">
        <v>2</v>
      </c>
      <c r="F5" s="29">
        <v>2</v>
      </c>
      <c r="G5" s="8">
        <f>POWER(PRODUCT(B5:F5),1/5)</f>
        <v>2.4022488679628622</v>
      </c>
      <c r="H5" s="8">
        <f>G5/$G$10</f>
        <v>0.39888068030324464</v>
      </c>
      <c r="I5" s="8">
        <f>B10*H5</f>
        <v>0.97725766674294945</v>
      </c>
      <c r="J5" s="2">
        <f>H5</f>
        <v>0.39888068030324464</v>
      </c>
    </row>
    <row r="6" spans="1:11" ht="14">
      <c r="A6" s="24" t="s">
        <v>25</v>
      </c>
      <c r="B6" s="30">
        <f>1/C5</f>
        <v>0.25</v>
      </c>
      <c r="C6" s="29">
        <v>1</v>
      </c>
      <c r="D6" s="29">
        <v>4</v>
      </c>
      <c r="E6" s="29">
        <v>3</v>
      </c>
      <c r="F6" s="29">
        <v>3</v>
      </c>
      <c r="G6" s="8">
        <f>POWER(PRODUCT(B6:F6),1/5)</f>
        <v>1.5518455739153598</v>
      </c>
      <c r="H6" s="8">
        <f>G6/$G$10</f>
        <v>0.25767572481941009</v>
      </c>
      <c r="I6" s="8">
        <f>C10*H6</f>
        <v>1.5245813718481762</v>
      </c>
      <c r="J6" s="2">
        <f t="shared" ref="J6:J9" si="0">H6</f>
        <v>0.25767572481941009</v>
      </c>
    </row>
    <row r="7" spans="1:11" ht="14">
      <c r="A7" s="24" t="s">
        <v>26</v>
      </c>
      <c r="B7" s="30">
        <f>1/D5</f>
        <v>0.2</v>
      </c>
      <c r="C7" s="30">
        <f>1/D6</f>
        <v>0.25</v>
      </c>
      <c r="D7" s="29">
        <v>1</v>
      </c>
      <c r="E7" s="29">
        <v>5</v>
      </c>
      <c r="F7" s="29">
        <v>5</v>
      </c>
      <c r="G7" s="8">
        <f>POWER(PRODUCT(B7:F7),1/5)</f>
        <v>1.0456395525912732</v>
      </c>
      <c r="H7" s="8">
        <f>G7/$G$10</f>
        <v>0.17362290046296541</v>
      </c>
      <c r="I7" s="8">
        <f>D10*H7</f>
        <v>1.8056781648148401</v>
      </c>
      <c r="J7" s="2">
        <f t="shared" si="0"/>
        <v>0.17362290046296541</v>
      </c>
    </row>
    <row r="8" spans="1:11" ht="14">
      <c r="A8" s="25" t="s">
        <v>27</v>
      </c>
      <c r="B8" s="30">
        <f>1/E5</f>
        <v>0.5</v>
      </c>
      <c r="C8" s="30">
        <f>1/E6</f>
        <v>0.33333333333333331</v>
      </c>
      <c r="D8" s="31">
        <f>1/E7</f>
        <v>0.2</v>
      </c>
      <c r="E8" s="29">
        <v>1</v>
      </c>
      <c r="F8" s="29">
        <v>2</v>
      </c>
      <c r="G8" s="8">
        <f>POWER(PRODUCT(B8:F8),1/5)</f>
        <v>0.5818107591526881</v>
      </c>
      <c r="H8" s="8">
        <f>G8/$G$10</f>
        <v>9.6606589980567828E-2</v>
      </c>
      <c r="I8" s="8">
        <f>E10*H8</f>
        <v>1.11097578477653</v>
      </c>
      <c r="J8" s="2">
        <f t="shared" si="0"/>
        <v>9.6606589980567828E-2</v>
      </c>
    </row>
    <row r="9" spans="1:11" ht="14">
      <c r="A9" s="26" t="s">
        <v>28</v>
      </c>
      <c r="B9" s="30">
        <f>1/F5</f>
        <v>0.5</v>
      </c>
      <c r="C9" s="30">
        <f>1/F6</f>
        <v>0.33333333333333331</v>
      </c>
      <c r="D9" s="30">
        <f>1/F7</f>
        <v>0.2</v>
      </c>
      <c r="E9" s="31">
        <f>1/F8</f>
        <v>0.5</v>
      </c>
      <c r="F9" s="29">
        <v>1</v>
      </c>
      <c r="G9" s="8">
        <f>POWER(PRODUCT(B9:F9),1/5)</f>
        <v>0.44093010311086023</v>
      </c>
      <c r="H9" s="8">
        <f>G9/$G$10</f>
        <v>7.321410443381203E-2</v>
      </c>
      <c r="I9" s="8">
        <f>F10*H9</f>
        <v>0.95178335763955635</v>
      </c>
      <c r="J9" s="2">
        <f t="shared" si="0"/>
        <v>7.321410443381203E-2</v>
      </c>
    </row>
    <row r="10" spans="1:11" ht="17">
      <c r="B10" s="8">
        <f t="shared" ref="B10:F10" si="1">SUM(B5:B9)</f>
        <v>2.4500000000000002</v>
      </c>
      <c r="C10" s="8">
        <f t="shared" si="1"/>
        <v>5.9166666666666661</v>
      </c>
      <c r="D10" s="8">
        <f t="shared" si="1"/>
        <v>10.399999999999999</v>
      </c>
      <c r="E10" s="8">
        <f t="shared" si="1"/>
        <v>11.5</v>
      </c>
      <c r="F10" s="8">
        <f t="shared" si="1"/>
        <v>13</v>
      </c>
      <c r="G10" s="8">
        <f>SUM(G5:G9)</f>
        <v>6.0224748567330435</v>
      </c>
      <c r="H10" s="10" t="s">
        <v>10</v>
      </c>
      <c r="I10" s="8">
        <f t="shared" ref="I10" si="2">SUM(I5:I9)</f>
        <v>6.3702763458220515</v>
      </c>
      <c r="J10" s="11">
        <f>SUM(J5:J9)</f>
        <v>1</v>
      </c>
    </row>
    <row r="11" spans="1:11">
      <c r="B11" s="8"/>
      <c r="C11" s="8"/>
      <c r="D11" s="8"/>
      <c r="E11" s="8"/>
      <c r="F11" s="8"/>
      <c r="G11" s="8"/>
      <c r="H11" s="10"/>
      <c r="I11" s="8"/>
      <c r="J11" s="11"/>
      <c r="K11" s="8"/>
    </row>
    <row r="12" spans="1:11">
      <c r="A12" s="19" t="s">
        <v>4</v>
      </c>
      <c r="B12" s="8">
        <v>5</v>
      </c>
      <c r="C12" s="8"/>
      <c r="D12" s="8"/>
      <c r="E12" s="8"/>
      <c r="F12" s="8"/>
      <c r="G12" s="8"/>
      <c r="H12" s="10"/>
      <c r="I12" s="8"/>
      <c r="J12" s="11"/>
      <c r="K12" s="8"/>
    </row>
    <row r="13" spans="1:11">
      <c r="A13" s="6" t="s">
        <v>5</v>
      </c>
      <c r="B13" s="8">
        <f>(I10-B12)/(B12-1)</f>
        <v>0.34256908645551287</v>
      </c>
      <c r="C13" s="33"/>
      <c r="D13" s="8"/>
      <c r="F13" s="8"/>
      <c r="G13" s="8"/>
      <c r="H13" s="10"/>
      <c r="I13" s="8"/>
      <c r="J13" s="11"/>
      <c r="K13" s="8"/>
    </row>
    <row r="14" spans="1:11">
      <c r="A14" s="6" t="s">
        <v>6</v>
      </c>
      <c r="B14" s="32">
        <v>1.1200000000000001</v>
      </c>
      <c r="C14" s="33"/>
    </row>
    <row r="15" spans="1:11">
      <c r="A15" s="6" t="s">
        <v>7</v>
      </c>
      <c r="B15" s="8">
        <f>B13/B14</f>
        <v>0.30586525576385076</v>
      </c>
      <c r="C15" s="33"/>
    </row>
    <row r="16" spans="1:11">
      <c r="E16" s="8"/>
    </row>
    <row r="17" spans="1:11">
      <c r="E17" s="8"/>
    </row>
    <row r="18" spans="1:11" ht="42">
      <c r="A18" s="34" t="s">
        <v>29</v>
      </c>
      <c r="B18" s="14"/>
    </row>
    <row r="19" spans="1:11">
      <c r="A19" s="22" t="s">
        <v>30</v>
      </c>
      <c r="B19" s="14"/>
    </row>
    <row r="20" spans="1:11" ht="95">
      <c r="A20" s="1"/>
      <c r="B20" s="27" t="str">
        <f>A21</f>
        <v>Жолдардың жүктемесін азайту (D1)</v>
      </c>
      <c r="C20" s="27" t="str">
        <f>A22</f>
        <v>Қоғамдық көліктің қолжетімділігі (D2)</v>
      </c>
      <c r="D20" s="27"/>
      <c r="E20" s="27"/>
      <c r="F20" s="28"/>
      <c r="G20" s="28"/>
      <c r="I20" s="18" t="s">
        <v>2</v>
      </c>
      <c r="K20" s="18" t="s">
        <v>3</v>
      </c>
    </row>
    <row r="21" spans="1:11" ht="14">
      <c r="A21" s="24" t="s">
        <v>35</v>
      </c>
      <c r="B21" s="7">
        <v>1</v>
      </c>
      <c r="C21" s="7">
        <v>9</v>
      </c>
      <c r="D21" s="7"/>
      <c r="E21" s="7"/>
      <c r="F21" s="29"/>
      <c r="G21" s="29"/>
      <c r="H21" s="8">
        <f>POWER(PRODUCT(B21:G21),1/6)</f>
        <v>1.4422495703074083</v>
      </c>
      <c r="I21" s="8">
        <f>H21/$H$23</f>
        <v>0.67533351121296792</v>
      </c>
      <c r="J21" s="8">
        <f>B23*I21</f>
        <v>0.75037056801440882</v>
      </c>
      <c r="K21" s="2">
        <f>I21</f>
        <v>0.67533351121296792</v>
      </c>
    </row>
    <row r="22" spans="1:11" ht="14">
      <c r="A22" s="24" t="s">
        <v>36</v>
      </c>
      <c r="B22" s="9">
        <f>1/C21</f>
        <v>0.1111111111111111</v>
      </c>
      <c r="C22" s="7">
        <v>1</v>
      </c>
      <c r="D22" s="29"/>
      <c r="E22" s="29"/>
      <c r="F22" s="29"/>
      <c r="G22" s="29"/>
      <c r="H22" s="8">
        <f t="shared" ref="H22" si="3">POWER(PRODUCT(B22:G22),1/6)</f>
        <v>0.69336127435063466</v>
      </c>
      <c r="I22" s="8">
        <f>H22/$H$23</f>
        <v>0.32466648878703214</v>
      </c>
      <c r="J22" s="8">
        <f>C23*I22</f>
        <v>3.2466648878703213</v>
      </c>
      <c r="K22" s="2">
        <f t="shared" ref="K22" si="4">I22</f>
        <v>0.32466648878703214</v>
      </c>
    </row>
    <row r="23" spans="1:11" ht="17">
      <c r="B23" s="8">
        <f t="shared" ref="B23:H23" si="5">SUM(B21:B22)</f>
        <v>1.1111111111111112</v>
      </c>
      <c r="C23" s="8">
        <f t="shared" si="5"/>
        <v>10</v>
      </c>
      <c r="D23" s="8">
        <f t="shared" si="5"/>
        <v>0</v>
      </c>
      <c r="E23" s="8">
        <f t="shared" si="5"/>
        <v>0</v>
      </c>
      <c r="F23" s="8">
        <f t="shared" si="5"/>
        <v>0</v>
      </c>
      <c r="G23" s="8">
        <f t="shared" si="5"/>
        <v>0</v>
      </c>
      <c r="H23" s="8">
        <f t="shared" si="5"/>
        <v>2.1356108446580429</v>
      </c>
      <c r="I23" s="10" t="s">
        <v>10</v>
      </c>
      <c r="J23" s="8">
        <f>SUM(J21:J22)</f>
        <v>3.9970354558847303</v>
      </c>
      <c r="K23" s="11">
        <f>SUM(K21:K22)</f>
        <v>1</v>
      </c>
    </row>
    <row r="24" spans="1:11">
      <c r="A24" s="13"/>
      <c r="B24" s="13"/>
    </row>
    <row r="25" spans="1:11">
      <c r="A25" s="19" t="s">
        <v>4</v>
      </c>
      <c r="B25" s="8">
        <v>6</v>
      </c>
    </row>
    <row r="26" spans="1:11">
      <c r="A26" s="6" t="s">
        <v>5</v>
      </c>
      <c r="B26" s="8">
        <f>(J23-B25)/(B25-1)</f>
        <v>-0.40059290882305393</v>
      </c>
    </row>
    <row r="27" spans="1:11">
      <c r="A27" s="6" t="s">
        <v>6</v>
      </c>
      <c r="B27" s="21">
        <v>1.24</v>
      </c>
    </row>
    <row r="28" spans="1:11">
      <c r="A28" s="6" t="s">
        <v>7</v>
      </c>
      <c r="B28" s="8">
        <f>B26/B27</f>
        <v>-0.32305879743794674</v>
      </c>
    </row>
    <row r="29" spans="1:11">
      <c r="A29" s="13"/>
      <c r="B29" s="13"/>
    </row>
    <row r="30" spans="1:11">
      <c r="A30" s="6" t="s">
        <v>31</v>
      </c>
      <c r="B30" s="13"/>
    </row>
    <row r="31" spans="1:11" ht="93">
      <c r="A31" s="1"/>
      <c r="B31" s="3" t="str">
        <f>A32</f>
        <v>Көгалдандыру (D3)</v>
      </c>
      <c r="C31" s="3" t="str">
        <f>A33</f>
        <v>Ауа сапасы (D4)</v>
      </c>
      <c r="D31" s="3"/>
      <c r="E31" s="3"/>
      <c r="G31" s="18" t="s">
        <v>2</v>
      </c>
      <c r="I31" s="18" t="s">
        <v>3</v>
      </c>
    </row>
    <row r="32" spans="1:11" ht="14">
      <c r="A32" s="35" t="s">
        <v>37</v>
      </c>
      <c r="B32" s="7">
        <v>1</v>
      </c>
      <c r="C32" s="7">
        <v>0.2</v>
      </c>
      <c r="D32" s="7"/>
      <c r="E32" s="7"/>
      <c r="F32" s="8">
        <f>POWER(PRODUCT(B32:E32),1/4)</f>
        <v>0.66874030497642201</v>
      </c>
      <c r="G32" s="8">
        <f>F32/$F$34</f>
        <v>0.30901699437494745</v>
      </c>
      <c r="H32" s="8">
        <f>B34*G32</f>
        <v>1.8541019662496847</v>
      </c>
      <c r="I32" s="2">
        <f>G32</f>
        <v>0.30901699437494745</v>
      </c>
    </row>
    <row r="33" spans="1:11" ht="14">
      <c r="A33" s="35" t="s">
        <v>38</v>
      </c>
      <c r="B33" s="9">
        <f>1/C32</f>
        <v>5</v>
      </c>
      <c r="C33" s="7">
        <v>1</v>
      </c>
      <c r="D33" s="7"/>
      <c r="E33" s="7"/>
      <c r="F33" s="8">
        <f>POWER(PRODUCT(B33:E33),1/4)</f>
        <v>1.4953487812212205</v>
      </c>
      <c r="G33" s="8">
        <f>F33/$F$34</f>
        <v>0.69098300562505255</v>
      </c>
      <c r="H33" s="8">
        <f>C34*G33</f>
        <v>0.82917960675006308</v>
      </c>
      <c r="I33" s="2">
        <f t="shared" ref="I33" si="6">G33</f>
        <v>0.69098300562505255</v>
      </c>
    </row>
    <row r="34" spans="1:11" ht="17">
      <c r="B34" s="8">
        <f>SUM(B32:B33)</f>
        <v>6</v>
      </c>
      <c r="C34" s="8">
        <f>SUM(C32:C33)</f>
        <v>1.2</v>
      </c>
      <c r="D34" s="8">
        <f>SUM(D32:D33)</f>
        <v>0</v>
      </c>
      <c r="E34" s="8">
        <f>SUM(E32:E33)</f>
        <v>0</v>
      </c>
      <c r="F34" s="8">
        <f>SUM(F32:F33)</f>
        <v>2.1640890861976425</v>
      </c>
      <c r="G34" s="10" t="s">
        <v>10</v>
      </c>
      <c r="H34" s="8">
        <f>SUM(H32:H33)</f>
        <v>2.6832815729997477</v>
      </c>
      <c r="I34" s="11">
        <f>SUM(I32:I33)</f>
        <v>1</v>
      </c>
    </row>
    <row r="35" spans="1:11">
      <c r="A35" s="13"/>
      <c r="B35" s="13"/>
    </row>
    <row r="36" spans="1:11">
      <c r="A36" s="19" t="s">
        <v>4</v>
      </c>
      <c r="B36" s="8">
        <v>4</v>
      </c>
    </row>
    <row r="37" spans="1:11">
      <c r="A37" s="6" t="s">
        <v>5</v>
      </c>
      <c r="B37" s="8">
        <f>(H34-B36)/(B36-1)</f>
        <v>-0.43890614233341746</v>
      </c>
    </row>
    <row r="38" spans="1:11">
      <c r="A38" s="6" t="s">
        <v>6</v>
      </c>
      <c r="B38" s="21">
        <v>0.9</v>
      </c>
    </row>
    <row r="39" spans="1:11">
      <c r="A39" s="6" t="s">
        <v>7</v>
      </c>
      <c r="B39" s="8">
        <f>B37/B38</f>
        <v>-0.48767349148157496</v>
      </c>
    </row>
    <row r="40" spans="1:11">
      <c r="A40" s="13"/>
      <c r="B40" s="13"/>
    </row>
    <row r="41" spans="1:11">
      <c r="A41" s="6" t="s">
        <v>32</v>
      </c>
      <c r="B41" s="13"/>
    </row>
    <row r="42" spans="1:11" ht="110">
      <c r="A42" s="1"/>
      <c r="B42" s="3" t="str">
        <f>A43</f>
        <v>Мектептер мен балабақшалар (D5)</v>
      </c>
      <c r="C42" s="3" t="str">
        <f>A44</f>
        <v>Емханалар және алғашқы медициналық көмек (D6)</v>
      </c>
      <c r="D42" s="3"/>
      <c r="E42" s="3"/>
      <c r="F42" s="12"/>
      <c r="G42" s="12"/>
      <c r="I42" s="18" t="s">
        <v>2</v>
      </c>
      <c r="K42" s="18" t="s">
        <v>3</v>
      </c>
    </row>
    <row r="43" spans="1:11" ht="14">
      <c r="A43" s="35" t="s">
        <v>39</v>
      </c>
      <c r="B43" s="7">
        <v>1</v>
      </c>
      <c r="C43" s="29">
        <v>4</v>
      </c>
      <c r="D43" s="29"/>
      <c r="E43" s="29"/>
      <c r="F43" s="29"/>
      <c r="G43" s="29"/>
      <c r="H43" s="8">
        <f t="shared" ref="H43:H44" si="7">POWER(PRODUCT(B43:G43),1/6)</f>
        <v>1.2599210498948732</v>
      </c>
      <c r="I43" s="8">
        <f>H43/$H$45</f>
        <v>0.6135117904356906</v>
      </c>
      <c r="J43" s="8">
        <f>B45*I43</f>
        <v>0.76688973804461325</v>
      </c>
      <c r="K43" s="2">
        <f>I43</f>
        <v>0.6135117904356906</v>
      </c>
    </row>
    <row r="44" spans="1:11" ht="14">
      <c r="A44" s="35" t="s">
        <v>40</v>
      </c>
      <c r="B44" s="9">
        <f>1/C43</f>
        <v>0.25</v>
      </c>
      <c r="C44" s="29">
        <v>1</v>
      </c>
      <c r="D44" s="29"/>
      <c r="E44" s="29"/>
      <c r="F44" s="29"/>
      <c r="G44" s="29"/>
      <c r="H44" s="8">
        <f t="shared" si="7"/>
        <v>0.79370052598409979</v>
      </c>
      <c r="I44" s="8">
        <f>H44/$H$45</f>
        <v>0.38648820956430935</v>
      </c>
      <c r="J44" s="8">
        <f>C45*I44</f>
        <v>1.9324410478215468</v>
      </c>
      <c r="K44" s="2">
        <f t="shared" ref="K44" si="8">I44</f>
        <v>0.38648820956430935</v>
      </c>
    </row>
    <row r="45" spans="1:11" ht="17">
      <c r="B45" s="8">
        <f t="shared" ref="B45:H45" si="9">SUM(B43:B44)</f>
        <v>1.25</v>
      </c>
      <c r="C45" s="8">
        <f t="shared" si="9"/>
        <v>5</v>
      </c>
      <c r="D45" s="8">
        <f t="shared" si="9"/>
        <v>0</v>
      </c>
      <c r="E45" s="8">
        <f t="shared" si="9"/>
        <v>0</v>
      </c>
      <c r="F45" s="8">
        <f t="shared" si="9"/>
        <v>0</v>
      </c>
      <c r="G45" s="8">
        <f t="shared" si="9"/>
        <v>0</v>
      </c>
      <c r="H45" s="8">
        <f t="shared" si="9"/>
        <v>2.0536215758789731</v>
      </c>
      <c r="I45" s="10" t="s">
        <v>10</v>
      </c>
      <c r="J45" s="8">
        <f>SUM(J43:J44)</f>
        <v>2.6993307858661599</v>
      </c>
      <c r="K45" s="11">
        <f>SUM(K43:K44)</f>
        <v>1</v>
      </c>
    </row>
    <row r="46" spans="1:11">
      <c r="A46" s="13"/>
      <c r="B46" s="13"/>
    </row>
    <row r="47" spans="1:11">
      <c r="A47" s="19" t="s">
        <v>4</v>
      </c>
      <c r="B47" s="8">
        <v>6</v>
      </c>
    </row>
    <row r="48" spans="1:11">
      <c r="A48" s="6" t="s">
        <v>5</v>
      </c>
      <c r="B48" s="8">
        <f>(J45-B47)/(B47-1)</f>
        <v>-0.66013384282676801</v>
      </c>
    </row>
    <row r="49" spans="1:10">
      <c r="A49" s="6" t="s">
        <v>6</v>
      </c>
      <c r="B49" s="21">
        <v>1.24</v>
      </c>
    </row>
    <row r="50" spans="1:10">
      <c r="A50" s="6" t="s">
        <v>7</v>
      </c>
      <c r="B50" s="8">
        <f>B48/B49</f>
        <v>-0.53236600227965158</v>
      </c>
    </row>
    <row r="51" spans="1:10">
      <c r="A51" s="13"/>
      <c r="B51" s="13"/>
    </row>
    <row r="52" spans="1:10" ht="28">
      <c r="A52" s="16" t="s">
        <v>33</v>
      </c>
      <c r="B52" s="13"/>
    </row>
    <row r="53" spans="1:10" ht="90">
      <c r="A53" s="1"/>
      <c r="B53" s="3" t="str">
        <f>A54</f>
        <v>Көше қауіпсіздігі (D7)</v>
      </c>
      <c r="C53" s="3" t="str">
        <f>A55</f>
        <v>Жол қозғалысының қауіпсіздігі (D8)</v>
      </c>
      <c r="D53" s="3"/>
      <c r="F53" s="18" t="s">
        <v>2</v>
      </c>
      <c r="H53" s="18" t="s">
        <v>3</v>
      </c>
    </row>
    <row r="54" spans="1:10" ht="14">
      <c r="A54" s="35" t="s">
        <v>41</v>
      </c>
      <c r="B54" s="7">
        <v>1</v>
      </c>
      <c r="C54" s="7">
        <v>2</v>
      </c>
      <c r="D54" s="7"/>
      <c r="E54" s="8">
        <f>POWER(PRODUCT(B54:D54),1/3)</f>
        <v>1.2599210498948732</v>
      </c>
      <c r="F54" s="8">
        <f>E54/$E$56</f>
        <v>0.6135117904356906</v>
      </c>
      <c r="G54" s="8">
        <f>B56*F54</f>
        <v>0.92026768565353589</v>
      </c>
      <c r="H54" s="2">
        <f>F54</f>
        <v>0.6135117904356906</v>
      </c>
    </row>
    <row r="55" spans="1:10" ht="14">
      <c r="A55" s="35" t="s">
        <v>42</v>
      </c>
      <c r="B55" s="9">
        <f>1/C54</f>
        <v>0.5</v>
      </c>
      <c r="C55" s="7">
        <v>1</v>
      </c>
      <c r="D55" s="7"/>
      <c r="E55" s="8">
        <f>POWER(PRODUCT(B55:D55),1/3)</f>
        <v>0.79370052598409979</v>
      </c>
      <c r="F55" s="8">
        <f>E55/$E$56</f>
        <v>0.38648820956430935</v>
      </c>
      <c r="G55" s="8">
        <f>C56*F55</f>
        <v>1.159464628692928</v>
      </c>
      <c r="H55" s="2">
        <f t="shared" ref="H55" si="10">F55</f>
        <v>0.38648820956430935</v>
      </c>
    </row>
    <row r="56" spans="1:10" ht="17">
      <c r="B56" s="8">
        <f>SUM(B54:B55)</f>
        <v>1.5</v>
      </c>
      <c r="C56" s="8">
        <f>SUM(C54:C55)</f>
        <v>3</v>
      </c>
      <c r="D56" s="8">
        <f>SUM(D54:D55)</f>
        <v>0</v>
      </c>
      <c r="E56" s="8">
        <f>SUM(E54:E55)</f>
        <v>2.0536215758789731</v>
      </c>
      <c r="F56" s="10" t="s">
        <v>10</v>
      </c>
      <c r="G56" s="8">
        <f>SUM(G54:G55)</f>
        <v>2.0797323143464639</v>
      </c>
      <c r="H56" s="11">
        <f>SUM(H54:H55)</f>
        <v>1</v>
      </c>
    </row>
    <row r="57" spans="1:10">
      <c r="A57" s="13"/>
      <c r="B57" s="13"/>
    </row>
    <row r="58" spans="1:10">
      <c r="A58" s="19" t="s">
        <v>4</v>
      </c>
      <c r="B58" s="8">
        <v>3</v>
      </c>
    </row>
    <row r="59" spans="1:10">
      <c r="A59" s="6" t="s">
        <v>5</v>
      </c>
      <c r="B59" s="8">
        <f>(G56-B58)/(B58-1)</f>
        <v>-0.46013384282676806</v>
      </c>
    </row>
    <row r="60" spans="1:10">
      <c r="A60" s="6" t="s">
        <v>6</v>
      </c>
      <c r="B60" s="21">
        <v>0.57999999999999996</v>
      </c>
    </row>
    <row r="61" spans="1:10">
      <c r="A61" s="6" t="s">
        <v>7</v>
      </c>
      <c r="B61" s="8">
        <f>B59/B60</f>
        <v>-0.79333421177028984</v>
      </c>
    </row>
    <row r="62" spans="1:10">
      <c r="A62" s="13"/>
      <c r="B62" s="13"/>
    </row>
    <row r="63" spans="1:10" ht="28">
      <c r="A63" s="16" t="s">
        <v>34</v>
      </c>
      <c r="B63" s="13"/>
    </row>
    <row r="64" spans="1:10" ht="96">
      <c r="A64" s="1"/>
      <c r="B64" s="3" t="str">
        <f>A65</f>
        <v>ТКШ сенімділігі (D9)</v>
      </c>
      <c r="C64" s="3" t="str">
        <f>A66</f>
        <v>Тұрғындардың өтініштерін шешу жылдамдығы (D10)</v>
      </c>
      <c r="D64" s="3"/>
      <c r="E64" s="3"/>
      <c r="F64" s="12"/>
      <c r="H64" s="18" t="s">
        <v>2</v>
      </c>
      <c r="J64" s="18" t="s">
        <v>3</v>
      </c>
    </row>
    <row r="65" spans="1:10" ht="14">
      <c r="A65" s="35" t="s">
        <v>43</v>
      </c>
      <c r="B65" s="7">
        <v>1</v>
      </c>
      <c r="C65" s="7">
        <v>1</v>
      </c>
      <c r="D65" s="7"/>
      <c r="E65" s="7"/>
      <c r="F65" s="29"/>
      <c r="G65" s="8">
        <f>POWER(PRODUCT(B65:F65),1/5)</f>
        <v>1</v>
      </c>
      <c r="H65" s="8">
        <f>G65/$G$67</f>
        <v>0.5</v>
      </c>
      <c r="I65" s="8">
        <f>B67*H65</f>
        <v>1</v>
      </c>
      <c r="J65" s="2">
        <f>H65</f>
        <v>0.5</v>
      </c>
    </row>
    <row r="66" spans="1:10" ht="14">
      <c r="A66" s="35" t="s">
        <v>44</v>
      </c>
      <c r="B66" s="9">
        <f>1/C65</f>
        <v>1</v>
      </c>
      <c r="C66" s="7">
        <v>1</v>
      </c>
      <c r="D66" s="7"/>
      <c r="E66" s="7"/>
      <c r="F66" s="29"/>
      <c r="G66" s="8">
        <f>POWER(PRODUCT(B66:F66),1/5)</f>
        <v>1</v>
      </c>
      <c r="H66" s="8">
        <f>G66/$G$67</f>
        <v>0.5</v>
      </c>
      <c r="I66" s="8">
        <f>C67*H66</f>
        <v>1</v>
      </c>
      <c r="J66" s="2">
        <f t="shared" ref="J66" si="11">H66</f>
        <v>0.5</v>
      </c>
    </row>
    <row r="67" spans="1:10" ht="17">
      <c r="B67" s="8">
        <f t="shared" ref="B67:G67" si="12">SUM(B65:B66)</f>
        <v>2</v>
      </c>
      <c r="C67" s="8">
        <f t="shared" si="12"/>
        <v>2</v>
      </c>
      <c r="D67" s="8">
        <f t="shared" si="12"/>
        <v>0</v>
      </c>
      <c r="E67" s="8">
        <f t="shared" si="12"/>
        <v>0</v>
      </c>
      <c r="F67" s="8">
        <f t="shared" si="12"/>
        <v>0</v>
      </c>
      <c r="G67" s="8">
        <f t="shared" si="12"/>
        <v>2</v>
      </c>
      <c r="H67" s="10" t="s">
        <v>10</v>
      </c>
      <c r="I67" s="8">
        <f>SUM(I65:I66)</f>
        <v>2</v>
      </c>
      <c r="J67" s="11">
        <f>SUM(J65:J66)</f>
        <v>1</v>
      </c>
    </row>
    <row r="68" spans="1:10">
      <c r="A68" s="13"/>
      <c r="B68" s="13"/>
    </row>
    <row r="69" spans="1:10">
      <c r="A69" s="19" t="s">
        <v>4</v>
      </c>
      <c r="B69" s="8">
        <v>5</v>
      </c>
    </row>
    <row r="70" spans="1:10">
      <c r="A70" s="6" t="s">
        <v>5</v>
      </c>
      <c r="B70" s="8">
        <f>(I67-B69)/(B69-1)</f>
        <v>-0.75</v>
      </c>
    </row>
    <row r="71" spans="1:10">
      <c r="A71" s="6" t="s">
        <v>6</v>
      </c>
      <c r="B71" s="21">
        <v>1.1200000000000001</v>
      </c>
    </row>
    <row r="72" spans="1:10">
      <c r="A72" s="6" t="s">
        <v>7</v>
      </c>
      <c r="B72" s="8">
        <f>B70/B71</f>
        <v>-0.6696428571428571</v>
      </c>
    </row>
    <row r="73" spans="1:10">
      <c r="B73" s="8"/>
    </row>
    <row r="74" spans="1:10">
      <c r="A74" s="13" t="s">
        <v>11</v>
      </c>
      <c r="B74" s="8"/>
    </row>
    <row r="75" spans="1:10">
      <c r="A75" s="6" t="s">
        <v>45</v>
      </c>
      <c r="B75" s="8"/>
    </row>
    <row r="76" spans="1:10" ht="86">
      <c r="A76" s="1"/>
      <c r="B76" s="3" t="str">
        <f>A77</f>
        <v xml:space="preserve">Автобустар үшін арнайы жолақтар енгізу </v>
      </c>
      <c r="C76" s="3" t="str">
        <f>A78</f>
        <v xml:space="preserve">Адаптивті басқарылатын ақылды бағдаршамдарды енгізу </v>
      </c>
      <c r="D76" s="3" t="str">
        <f>A79</f>
        <v xml:space="preserve">ЛРТ желісін салу немесе кеңейту </v>
      </c>
      <c r="F76" s="18" t="s">
        <v>2</v>
      </c>
      <c r="H76" s="18" t="s">
        <v>3</v>
      </c>
    </row>
    <row r="77" spans="1:10" ht="14">
      <c r="A77" s="4" t="s">
        <v>46</v>
      </c>
      <c r="B77" s="7">
        <v>1</v>
      </c>
      <c r="C77" s="7">
        <v>3</v>
      </c>
      <c r="D77" s="7">
        <v>3</v>
      </c>
      <c r="E77" s="8">
        <f>POWER(PRODUCT(B77:D77),1/3)</f>
        <v>2.0800838230519041</v>
      </c>
      <c r="F77" s="8">
        <f>E77/$E$80</f>
        <v>0.59363368526030014</v>
      </c>
      <c r="G77" s="8">
        <f>B80*F77</f>
        <v>0.98938947543383349</v>
      </c>
      <c r="H77" s="2">
        <f>F77</f>
        <v>0.59363368526030014</v>
      </c>
    </row>
    <row r="78" spans="1:10" ht="14">
      <c r="A78" s="4" t="s">
        <v>47</v>
      </c>
      <c r="B78" s="9">
        <f>1/C77</f>
        <v>0.33333333333333331</v>
      </c>
      <c r="C78" s="7">
        <v>1</v>
      </c>
      <c r="D78" s="7">
        <v>2</v>
      </c>
      <c r="E78" s="8">
        <f>POWER(PRODUCT(B78:D78),1/3)</f>
        <v>0.87358046473629891</v>
      </c>
      <c r="F78" s="8">
        <f>E78/$E$80</f>
        <v>0.24931052532870668</v>
      </c>
      <c r="G78" s="8">
        <f>C80*F78</f>
        <v>1.1218973639791801</v>
      </c>
      <c r="H78" s="2">
        <f t="shared" ref="H78:H79" si="13">F78</f>
        <v>0.24931052532870668</v>
      </c>
    </row>
    <row r="79" spans="1:10" ht="14">
      <c r="A79" s="4" t="s">
        <v>48</v>
      </c>
      <c r="B79" s="9">
        <f>1/D77</f>
        <v>0.33333333333333331</v>
      </c>
      <c r="C79" s="9">
        <f>1/D78</f>
        <v>0.5</v>
      </c>
      <c r="D79" s="7">
        <v>1</v>
      </c>
      <c r="E79" s="8">
        <f>POWER(PRODUCT(B79:D79),1/3)</f>
        <v>0.55032120814910446</v>
      </c>
      <c r="F79" s="8">
        <f>E79/$E$80</f>
        <v>0.15705578941099324</v>
      </c>
      <c r="G79" s="8">
        <f>D80*F79</f>
        <v>0.94233473646595944</v>
      </c>
      <c r="H79" s="2">
        <f t="shared" si="13"/>
        <v>0.15705578941099324</v>
      </c>
    </row>
    <row r="80" spans="1:10" ht="17">
      <c r="B80" s="8">
        <f>SUM(B77:B79)</f>
        <v>1.6666666666666665</v>
      </c>
      <c r="C80" s="8">
        <f>SUM(C77:C79)</f>
        <v>4.5</v>
      </c>
      <c r="D80" s="8">
        <f>SUM(D77:D79)</f>
        <v>6</v>
      </c>
      <c r="E80" s="8">
        <f>SUM(E77:E79)</f>
        <v>3.5039854959373073</v>
      </c>
      <c r="F80" s="10" t="s">
        <v>10</v>
      </c>
      <c r="G80" s="8">
        <f>SUM(G77:G79)</f>
        <v>3.0536215758789731</v>
      </c>
      <c r="H80" s="11">
        <f>SUM(H77:H79)</f>
        <v>1</v>
      </c>
    </row>
    <row r="81" spans="1:8">
      <c r="A81" s="13"/>
      <c r="B81" s="13"/>
    </row>
    <row r="82" spans="1:8">
      <c r="A82" s="19" t="s">
        <v>4</v>
      </c>
      <c r="B82" s="8">
        <v>3</v>
      </c>
    </row>
    <row r="83" spans="1:8">
      <c r="A83" s="6" t="s">
        <v>5</v>
      </c>
      <c r="B83" s="8">
        <f>(G80-B82)/(B82-1)</f>
        <v>2.6810787939486547E-2</v>
      </c>
    </row>
    <row r="84" spans="1:8">
      <c r="A84" s="6" t="s">
        <v>6</v>
      </c>
      <c r="B84" s="21">
        <v>0.57999999999999996</v>
      </c>
    </row>
    <row r="85" spans="1:8">
      <c r="A85" s="6" t="s">
        <v>7</v>
      </c>
      <c r="B85" s="8">
        <f>B83/B84</f>
        <v>4.6225496447390602E-2</v>
      </c>
    </row>
    <row r="86" spans="1:8">
      <c r="B86" s="8"/>
    </row>
    <row r="87" spans="1:8">
      <c r="A87" s="6" t="s">
        <v>49</v>
      </c>
      <c r="B87" s="8"/>
    </row>
    <row r="88" spans="1:8" ht="86">
      <c r="A88" s="1"/>
      <c r="B88" s="3" t="str">
        <f>A89</f>
        <v xml:space="preserve">Автобустар үшін арнайы жолақтар енгізу </v>
      </c>
      <c r="C88" s="3" t="str">
        <f>A90</f>
        <v xml:space="preserve">Адаптивті басқарылатын ақылды бағдаршамдарды енгізу </v>
      </c>
      <c r="D88" s="3" t="str">
        <f>A91</f>
        <v xml:space="preserve">ЛРТ желісін салу немесе кеңейту </v>
      </c>
      <c r="F88" s="18" t="s">
        <v>2</v>
      </c>
      <c r="H88" s="18" t="s">
        <v>3</v>
      </c>
    </row>
    <row r="89" spans="1:8" ht="14">
      <c r="A89" s="4" t="s">
        <v>46</v>
      </c>
      <c r="B89" s="7">
        <v>1</v>
      </c>
      <c r="C89" s="7">
        <v>2</v>
      </c>
      <c r="D89" s="7">
        <v>1</v>
      </c>
      <c r="E89" s="8">
        <f>POWER(PRODUCT(B89:D89),1/3)</f>
        <v>1.2599210498948732</v>
      </c>
      <c r="F89" s="8">
        <f>E89/$E$92</f>
        <v>0.41259894803180053</v>
      </c>
      <c r="G89" s="8">
        <f>B92*F89</f>
        <v>1.0314973700795014</v>
      </c>
      <c r="H89" s="2">
        <f>F89</f>
        <v>0.41259894803180053</v>
      </c>
    </row>
    <row r="90" spans="1:8" ht="14">
      <c r="A90" s="4" t="s">
        <v>47</v>
      </c>
      <c r="B90" s="9">
        <f>1/C89</f>
        <v>0.5</v>
      </c>
      <c r="C90" s="7">
        <v>1</v>
      </c>
      <c r="D90" s="7">
        <v>2</v>
      </c>
      <c r="E90" s="8">
        <f>POWER(PRODUCT(B90:D90),1/3)</f>
        <v>1</v>
      </c>
      <c r="F90" s="8">
        <f>E90/$E$92</f>
        <v>0.32748000207332628</v>
      </c>
      <c r="G90" s="8">
        <f>C92*F90</f>
        <v>1.1461800072566419</v>
      </c>
      <c r="H90" s="2">
        <f t="shared" ref="H90:H91" si="14">F90</f>
        <v>0.32748000207332628</v>
      </c>
    </row>
    <row r="91" spans="1:8" ht="14">
      <c r="A91" s="4" t="s">
        <v>48</v>
      </c>
      <c r="B91" s="9">
        <f>1/D89</f>
        <v>1</v>
      </c>
      <c r="C91" s="9">
        <f>1/D90</f>
        <v>0.5</v>
      </c>
      <c r="D91" s="7">
        <v>1</v>
      </c>
      <c r="E91" s="8">
        <f>POWER(PRODUCT(B91:D91),1/3)</f>
        <v>0.79370052598409979</v>
      </c>
      <c r="F91" s="8">
        <f>E91/$E$92</f>
        <v>0.25992104989487319</v>
      </c>
      <c r="G91" s="8">
        <f>D92*F91</f>
        <v>1.0396841995794928</v>
      </c>
      <c r="H91" s="2">
        <f t="shared" si="14"/>
        <v>0.25992104989487319</v>
      </c>
    </row>
    <row r="92" spans="1:8" ht="17">
      <c r="B92" s="8">
        <f>SUM(B89:B91)</f>
        <v>2.5</v>
      </c>
      <c r="C92" s="8">
        <f>SUM(C89:C91)</f>
        <v>3.5</v>
      </c>
      <c r="D92" s="8">
        <f>SUM(D89:D91)</f>
        <v>4</v>
      </c>
      <c r="E92" s="8">
        <f>SUM(E89:E91)</f>
        <v>3.0536215758789731</v>
      </c>
      <c r="F92" s="10" t="s">
        <v>10</v>
      </c>
      <c r="G92" s="8">
        <f>SUM(G89:G91)</f>
        <v>3.2173615769156361</v>
      </c>
      <c r="H92" s="11">
        <f>SUM(H89:H91)</f>
        <v>1</v>
      </c>
    </row>
    <row r="93" spans="1:8">
      <c r="A93" s="13"/>
      <c r="B93" s="13"/>
    </row>
    <row r="94" spans="1:8">
      <c r="A94" s="19" t="s">
        <v>4</v>
      </c>
      <c r="B94" s="8">
        <v>3</v>
      </c>
    </row>
    <row r="95" spans="1:8">
      <c r="A95" s="6" t="s">
        <v>5</v>
      </c>
      <c r="B95" s="8">
        <f>(G92-B94)/(B94-1)</f>
        <v>0.10868078845781803</v>
      </c>
    </row>
    <row r="96" spans="1:8">
      <c r="A96" s="6" t="s">
        <v>6</v>
      </c>
      <c r="B96" s="21">
        <v>0.57999999999999996</v>
      </c>
    </row>
    <row r="97" spans="1:8">
      <c r="A97" s="6" t="s">
        <v>7</v>
      </c>
      <c r="B97" s="8">
        <f>B95/B96</f>
        <v>0.1873806697548587</v>
      </c>
    </row>
    <row r="98" spans="1:8">
      <c r="B98" s="8"/>
    </row>
    <row r="99" spans="1:8">
      <c r="A99" s="6" t="s">
        <v>50</v>
      </c>
      <c r="B99" s="8"/>
    </row>
    <row r="100" spans="1:8" ht="86">
      <c r="A100" s="1"/>
      <c r="B100" s="3" t="str">
        <f>A101</f>
        <v xml:space="preserve">Автобустар үшін арнайы жолақтар енгізу </v>
      </c>
      <c r="C100" s="3" t="str">
        <f>A102</f>
        <v xml:space="preserve">Адаптивті басқарылатын ақылды бағдаршамдарды енгізу </v>
      </c>
      <c r="D100" s="3" t="str">
        <f>A103</f>
        <v xml:space="preserve">ЛРТ желісін салу немесе кеңейту </v>
      </c>
      <c r="F100" s="18" t="s">
        <v>2</v>
      </c>
      <c r="H100" s="18" t="s">
        <v>3</v>
      </c>
    </row>
    <row r="101" spans="1:8" ht="14">
      <c r="A101" s="4" t="s">
        <v>46</v>
      </c>
      <c r="B101" s="7">
        <v>1</v>
      </c>
      <c r="C101" s="7">
        <v>2</v>
      </c>
      <c r="D101" s="7">
        <v>2</v>
      </c>
      <c r="E101" s="8">
        <f>POWER(PRODUCT(B101:D101),1/3)</f>
        <v>1.5874010519681994</v>
      </c>
      <c r="F101" s="8">
        <f>E101/$E$104</f>
        <v>0.49338596673675117</v>
      </c>
      <c r="G101" s="8">
        <f>B104*F101</f>
        <v>0.98677193347350234</v>
      </c>
      <c r="H101" s="2">
        <f>F101</f>
        <v>0.49338596673675117</v>
      </c>
    </row>
    <row r="102" spans="1:8" ht="14">
      <c r="A102" s="4" t="s">
        <v>47</v>
      </c>
      <c r="B102" s="9">
        <f>1/C101</f>
        <v>0.5</v>
      </c>
      <c r="C102" s="7">
        <v>1</v>
      </c>
      <c r="D102" s="7">
        <v>2</v>
      </c>
      <c r="E102" s="8">
        <f>POWER(PRODUCT(B102:D102),1/3)</f>
        <v>1</v>
      </c>
      <c r="F102" s="8">
        <f>E102/$E$104</f>
        <v>0.31081368260718228</v>
      </c>
      <c r="G102" s="8">
        <f>C104*F102</f>
        <v>1.087847889125138</v>
      </c>
      <c r="H102" s="2">
        <f t="shared" ref="H102:H103" si="15">F102</f>
        <v>0.31081368260718228</v>
      </c>
    </row>
    <row r="103" spans="1:8" ht="14">
      <c r="A103" s="4" t="s">
        <v>48</v>
      </c>
      <c r="B103" s="9">
        <f>1/D101</f>
        <v>0.5</v>
      </c>
      <c r="C103" s="9">
        <f>1/D102</f>
        <v>0.5</v>
      </c>
      <c r="D103" s="7">
        <v>1</v>
      </c>
      <c r="E103" s="8">
        <f>POWER(PRODUCT(B103:D103),1/3)</f>
        <v>0.6299605249474366</v>
      </c>
      <c r="F103" s="8">
        <f>E103/$E$104</f>
        <v>0.19580035065606649</v>
      </c>
      <c r="G103" s="8">
        <f>D104*F103</f>
        <v>0.97900175328033245</v>
      </c>
      <c r="H103" s="2">
        <f t="shared" si="15"/>
        <v>0.19580035065606649</v>
      </c>
    </row>
    <row r="104" spans="1:8" ht="17">
      <c r="B104" s="8">
        <f>SUM(B101:B103)</f>
        <v>2</v>
      </c>
      <c r="C104" s="8">
        <f>SUM(C101:C103)</f>
        <v>3.5</v>
      </c>
      <c r="D104" s="8">
        <f>SUM(D101:D103)</f>
        <v>5</v>
      </c>
      <c r="E104" s="8">
        <f>SUM(E101:E103)</f>
        <v>3.2173615769156361</v>
      </c>
      <c r="F104" s="10" t="s">
        <v>10</v>
      </c>
      <c r="G104" s="8">
        <f>SUM(G101:G103)</f>
        <v>3.0536215758789726</v>
      </c>
      <c r="H104" s="11">
        <f>SUM(H101:H103)</f>
        <v>0.99999999999999989</v>
      </c>
    </row>
    <row r="105" spans="1:8">
      <c r="A105" s="13"/>
      <c r="B105" s="13"/>
    </row>
    <row r="106" spans="1:8">
      <c r="A106" s="19" t="s">
        <v>4</v>
      </c>
      <c r="B106" s="8">
        <v>3</v>
      </c>
    </row>
    <row r="107" spans="1:8">
      <c r="A107" s="6" t="s">
        <v>5</v>
      </c>
      <c r="B107" s="8">
        <f>(G104-B106)/(B106-1)</f>
        <v>2.6810787939486325E-2</v>
      </c>
    </row>
    <row r="108" spans="1:8">
      <c r="A108" s="6" t="s">
        <v>6</v>
      </c>
      <c r="B108" s="21">
        <v>0.57999999999999996</v>
      </c>
    </row>
    <row r="109" spans="1:8">
      <c r="A109" s="6" t="s">
        <v>7</v>
      </c>
      <c r="B109" s="8">
        <f>B107/B108</f>
        <v>4.622549644739022E-2</v>
      </c>
    </row>
    <row r="110" spans="1:8">
      <c r="B110" s="8"/>
    </row>
    <row r="111" spans="1:8">
      <c r="A111" s="6" t="s">
        <v>51</v>
      </c>
      <c r="B111" s="8"/>
    </row>
    <row r="112" spans="1:8" ht="86">
      <c r="A112" s="1"/>
      <c r="B112" s="3" t="str">
        <f>A113</f>
        <v xml:space="preserve">Автобустар үшін арнайы жолақтар енгізу </v>
      </c>
      <c r="C112" s="3" t="str">
        <f>A114</f>
        <v xml:space="preserve">Адаптивті басқарылатын ақылды бағдаршамдарды енгізу </v>
      </c>
      <c r="D112" s="3" t="str">
        <f>A115</f>
        <v xml:space="preserve">ЛРТ желісін салу немесе кеңейту </v>
      </c>
      <c r="F112" s="18" t="s">
        <v>2</v>
      </c>
      <c r="H112" s="18" t="s">
        <v>3</v>
      </c>
    </row>
    <row r="113" spans="1:8" ht="14">
      <c r="A113" s="4" t="s">
        <v>46</v>
      </c>
      <c r="B113" s="7">
        <v>1</v>
      </c>
      <c r="C113" s="7">
        <v>4</v>
      </c>
      <c r="D113" s="7">
        <v>3</v>
      </c>
      <c r="E113" s="8">
        <f>POWER(PRODUCT(B113:D113),1/3)</f>
        <v>2.2894284851066637</v>
      </c>
      <c r="F113" s="8">
        <f>E113/$E$116</f>
        <v>0.63370792467708237</v>
      </c>
      <c r="G113" s="8">
        <f>B116*F113</f>
        <v>1.0033708807387136</v>
      </c>
      <c r="H113" s="2">
        <f>F113</f>
        <v>0.63370792467708237</v>
      </c>
    </row>
    <row r="114" spans="1:8" ht="14">
      <c r="A114" s="4" t="s">
        <v>47</v>
      </c>
      <c r="B114" s="9">
        <f>1/C113</f>
        <v>0.25</v>
      </c>
      <c r="C114" s="7">
        <v>1</v>
      </c>
      <c r="D114" s="7">
        <v>1</v>
      </c>
      <c r="E114" s="8">
        <f>POWER(PRODUCT(B114:D114),1/3)</f>
        <v>0.6299605249474366</v>
      </c>
      <c r="F114" s="8">
        <f>E114/$E$116</f>
        <v>0.17437145536097684</v>
      </c>
      <c r="G114" s="8">
        <f>C116*F114</f>
        <v>1.046228732165861</v>
      </c>
      <c r="H114" s="2">
        <f t="shared" ref="H114:H115" si="16">F114</f>
        <v>0.17437145536097684</v>
      </c>
    </row>
    <row r="115" spans="1:8" ht="14">
      <c r="A115" s="4" t="s">
        <v>48</v>
      </c>
      <c r="B115" s="9">
        <f>1/D113</f>
        <v>0.33333333333333331</v>
      </c>
      <c r="C115" s="9">
        <f>1/D114</f>
        <v>1</v>
      </c>
      <c r="D115" s="7">
        <v>1</v>
      </c>
      <c r="E115" s="8">
        <f>POWER(PRODUCT(B115:D115),1/3)</f>
        <v>0.69336127435063466</v>
      </c>
      <c r="F115" s="8">
        <f>E115/$E$116</f>
        <v>0.19192061996194079</v>
      </c>
      <c r="G115" s="8">
        <f>D116*F115</f>
        <v>0.95960309980970393</v>
      </c>
      <c r="H115" s="2">
        <f t="shared" si="16"/>
        <v>0.19192061996194079</v>
      </c>
    </row>
    <row r="116" spans="1:8" ht="17">
      <c r="B116" s="8">
        <f>SUM(B113:B115)</f>
        <v>1.5833333333333333</v>
      </c>
      <c r="C116" s="8">
        <f>SUM(C113:C115)</f>
        <v>6</v>
      </c>
      <c r="D116" s="8">
        <f>SUM(D113:D115)</f>
        <v>5</v>
      </c>
      <c r="E116" s="8">
        <f>SUM(E113:E115)</f>
        <v>3.612750284404735</v>
      </c>
      <c r="F116" s="10" t="s">
        <v>10</v>
      </c>
      <c r="G116" s="8">
        <f>SUM(G113:G115)</f>
        <v>3.0092027127142789</v>
      </c>
      <c r="H116" s="11">
        <f>SUM(H113:H115)</f>
        <v>1</v>
      </c>
    </row>
    <row r="117" spans="1:8">
      <c r="A117" s="13"/>
      <c r="B117" s="13"/>
    </row>
    <row r="118" spans="1:8">
      <c r="A118" s="19" t="s">
        <v>4</v>
      </c>
      <c r="B118" s="8">
        <v>3</v>
      </c>
    </row>
    <row r="119" spans="1:8">
      <c r="A119" s="6" t="s">
        <v>5</v>
      </c>
      <c r="B119" s="8">
        <f>(G116-B118)/(B118-1)</f>
        <v>4.60135635713943E-3</v>
      </c>
    </row>
    <row r="120" spans="1:8">
      <c r="A120" s="6" t="s">
        <v>6</v>
      </c>
      <c r="B120" s="21">
        <v>0.57999999999999996</v>
      </c>
    </row>
    <row r="121" spans="1:8">
      <c r="A121" s="6" t="s">
        <v>7</v>
      </c>
      <c r="B121" s="8">
        <f>B119/B120</f>
        <v>7.9333730295507426E-3</v>
      </c>
    </row>
    <row r="122" spans="1:8">
      <c r="B122" s="8"/>
    </row>
    <row r="123" spans="1:8">
      <c r="A123" s="6" t="s">
        <v>52</v>
      </c>
      <c r="B123" s="8"/>
    </row>
    <row r="124" spans="1:8" ht="86">
      <c r="A124" s="1"/>
      <c r="B124" s="3" t="str">
        <f>A125</f>
        <v xml:space="preserve">Автобустар үшін арнайы жолақтар енгізу </v>
      </c>
      <c r="C124" s="3" t="str">
        <f>A126</f>
        <v xml:space="preserve">Адаптивті басқарылатын ақылды бағдаршамдарды енгізу </v>
      </c>
      <c r="D124" s="3" t="str">
        <f>A127</f>
        <v xml:space="preserve">ЛРТ желісін салу немесе кеңейту </v>
      </c>
      <c r="F124" s="18" t="s">
        <v>2</v>
      </c>
      <c r="H124" s="18" t="s">
        <v>3</v>
      </c>
    </row>
    <row r="125" spans="1:8" ht="14">
      <c r="A125" s="4" t="s">
        <v>46</v>
      </c>
      <c r="B125" s="7">
        <v>1</v>
      </c>
      <c r="C125" s="7">
        <v>3</v>
      </c>
      <c r="D125" s="7">
        <v>2</v>
      </c>
      <c r="E125" s="8">
        <f>POWER(PRODUCT(B125:D125),1/3)</f>
        <v>1.8171205928321397</v>
      </c>
      <c r="F125" s="8">
        <f>E125/$E$128</f>
        <v>0.54721643494168148</v>
      </c>
      <c r="G125" s="8">
        <f>B128*F125</f>
        <v>1.003230130726416</v>
      </c>
      <c r="H125" s="2">
        <f>F125</f>
        <v>0.54721643494168148</v>
      </c>
    </row>
    <row r="126" spans="1:8" ht="14">
      <c r="A126" s="4" t="s">
        <v>47</v>
      </c>
      <c r="B126" s="9">
        <f>1/C125</f>
        <v>0.33333333333333331</v>
      </c>
      <c r="C126" s="7">
        <v>1</v>
      </c>
      <c r="D126" s="7">
        <v>2</v>
      </c>
      <c r="E126" s="8">
        <f>POWER(PRODUCT(B126:D126),1/3)</f>
        <v>0.87358046473629891</v>
      </c>
      <c r="F126" s="8">
        <f>E126/$E$128</f>
        <v>0.26307422271993069</v>
      </c>
      <c r="G126" s="8">
        <f>C128*F126</f>
        <v>1.183834002239688</v>
      </c>
      <c r="H126" s="2">
        <f t="shared" ref="H126:H127" si="17">F126</f>
        <v>0.26307422271993069</v>
      </c>
    </row>
    <row r="127" spans="1:8" ht="14">
      <c r="A127" s="4" t="s">
        <v>48</v>
      </c>
      <c r="B127" s="9">
        <f>1/D125</f>
        <v>0.5</v>
      </c>
      <c r="C127" s="9">
        <f>1/D126</f>
        <v>0.5</v>
      </c>
      <c r="D127" s="7">
        <v>1</v>
      </c>
      <c r="E127" s="8">
        <f>POWER(PRODUCT(B127:D127),1/3)</f>
        <v>0.6299605249474366</v>
      </c>
      <c r="F127" s="8">
        <f>E127/$E$128</f>
        <v>0.18970934233838774</v>
      </c>
      <c r="G127" s="8">
        <f>D128*F127</f>
        <v>0.94854671169193872</v>
      </c>
      <c r="H127" s="2">
        <f t="shared" si="17"/>
        <v>0.18970934233838774</v>
      </c>
    </row>
    <row r="128" spans="1:8" ht="17">
      <c r="B128" s="8">
        <f>SUM(B125:B127)</f>
        <v>1.8333333333333333</v>
      </c>
      <c r="C128" s="8">
        <f>SUM(C125:C127)</f>
        <v>4.5</v>
      </c>
      <c r="D128" s="8">
        <f>SUM(D125:D127)</f>
        <v>5</v>
      </c>
      <c r="E128" s="8">
        <f>SUM(E125:E127)</f>
        <v>3.3206615825158754</v>
      </c>
      <c r="F128" s="10" t="s">
        <v>10</v>
      </c>
      <c r="G128" s="8">
        <f>SUM(G125:G127)</f>
        <v>3.1356108446580429</v>
      </c>
      <c r="H128" s="11">
        <f>SUM(H125:H127)</f>
        <v>1</v>
      </c>
    </row>
    <row r="129" spans="1:8">
      <c r="A129" s="13"/>
      <c r="B129" s="13"/>
    </row>
    <row r="130" spans="1:8">
      <c r="A130" s="19" t="s">
        <v>4</v>
      </c>
      <c r="B130" s="8">
        <v>3</v>
      </c>
    </row>
    <row r="131" spans="1:8">
      <c r="A131" s="6" t="s">
        <v>5</v>
      </c>
      <c r="B131" s="8">
        <f>(G128-B130)/(B130-1)</f>
        <v>6.7805422329021425E-2</v>
      </c>
    </row>
    <row r="132" spans="1:8">
      <c r="A132" s="6" t="s">
        <v>6</v>
      </c>
      <c r="B132" s="21">
        <v>0.57999999999999996</v>
      </c>
    </row>
    <row r="133" spans="1:8">
      <c r="A133" s="6" t="s">
        <v>7</v>
      </c>
      <c r="B133" s="8">
        <f>B131/B132</f>
        <v>0.11690590056727833</v>
      </c>
    </row>
    <row r="134" spans="1:8">
      <c r="B134" s="8"/>
    </row>
    <row r="135" spans="1:8">
      <c r="A135" s="6" t="s">
        <v>53</v>
      </c>
      <c r="B135" s="8"/>
    </row>
    <row r="136" spans="1:8" ht="86">
      <c r="A136" s="1"/>
      <c r="B136" s="3" t="str">
        <f>A137</f>
        <v xml:space="preserve">Автобустар үшін арнайы жолақтар енгізу </v>
      </c>
      <c r="C136" s="3" t="str">
        <f>A138</f>
        <v xml:space="preserve">Адаптивті басқарылатын ақылды бағдаршамдарды енгізу </v>
      </c>
      <c r="D136" s="3" t="str">
        <f>A139</f>
        <v xml:space="preserve">ЛРТ желісін салу немесе кеңейту </v>
      </c>
      <c r="F136" s="18" t="s">
        <v>2</v>
      </c>
      <c r="H136" s="18" t="s">
        <v>3</v>
      </c>
    </row>
    <row r="137" spans="1:8" ht="14">
      <c r="A137" s="4" t="s">
        <v>46</v>
      </c>
      <c r="B137" s="7">
        <v>1</v>
      </c>
      <c r="C137" s="7">
        <v>3</v>
      </c>
      <c r="D137" s="7">
        <v>4</v>
      </c>
      <c r="E137" s="8">
        <f>POWER(PRODUCT(B137:D137),1/3)</f>
        <v>2.2894284851066637</v>
      </c>
      <c r="F137" s="8">
        <f>E137/$E$140</f>
        <v>0.63370792467708237</v>
      </c>
      <c r="G137" s="8">
        <f>B140*F137</f>
        <v>1.0033708807387136</v>
      </c>
      <c r="H137" s="2">
        <f>F137</f>
        <v>0.63370792467708237</v>
      </c>
    </row>
    <row r="138" spans="1:8" ht="14">
      <c r="A138" s="4" t="s">
        <v>47</v>
      </c>
      <c r="B138" s="9">
        <f>1/C137</f>
        <v>0.33333333333333331</v>
      </c>
      <c r="C138" s="7">
        <v>1</v>
      </c>
      <c r="D138" s="7">
        <v>1</v>
      </c>
      <c r="E138" s="8">
        <f>POWER(PRODUCT(B138:D138),1/3)</f>
        <v>0.69336127435063466</v>
      </c>
      <c r="F138" s="8">
        <f>E138/$E$140</f>
        <v>0.19192061996194079</v>
      </c>
      <c r="G138" s="8">
        <f>C140*F138</f>
        <v>0.95960309980970393</v>
      </c>
      <c r="H138" s="2">
        <f t="shared" ref="H138:H139" si="18">F138</f>
        <v>0.19192061996194079</v>
      </c>
    </row>
    <row r="139" spans="1:8" ht="14">
      <c r="A139" s="4" t="s">
        <v>48</v>
      </c>
      <c r="B139" s="9">
        <f>1/D137</f>
        <v>0.25</v>
      </c>
      <c r="C139" s="9">
        <f>1/D138</f>
        <v>1</v>
      </c>
      <c r="D139" s="7">
        <v>1</v>
      </c>
      <c r="E139" s="8">
        <f>POWER(PRODUCT(B139:D139),1/3)</f>
        <v>0.6299605249474366</v>
      </c>
      <c r="F139" s="8">
        <f>E139/$E$140</f>
        <v>0.17437145536097684</v>
      </c>
      <c r="G139" s="8">
        <f>D140*F139</f>
        <v>1.046228732165861</v>
      </c>
      <c r="H139" s="2">
        <f t="shared" si="18"/>
        <v>0.17437145536097684</v>
      </c>
    </row>
    <row r="140" spans="1:8" ht="17">
      <c r="B140" s="8">
        <f>SUM(B137:B139)</f>
        <v>1.5833333333333333</v>
      </c>
      <c r="C140" s="8">
        <f>SUM(C137:C139)</f>
        <v>5</v>
      </c>
      <c r="D140" s="8">
        <f>SUM(D137:D139)</f>
        <v>6</v>
      </c>
      <c r="E140" s="8">
        <f>SUM(E137:E139)</f>
        <v>3.612750284404735</v>
      </c>
      <c r="F140" s="10" t="s">
        <v>10</v>
      </c>
      <c r="G140" s="8">
        <f>SUM(G137:G139)</f>
        <v>3.0092027127142784</v>
      </c>
      <c r="H140" s="11">
        <f>SUM(H137:H139)</f>
        <v>1</v>
      </c>
    </row>
    <row r="141" spans="1:8">
      <c r="A141" s="13"/>
      <c r="B141" s="13"/>
    </row>
    <row r="142" spans="1:8">
      <c r="A142" s="19" t="s">
        <v>4</v>
      </c>
      <c r="B142" s="8">
        <v>3</v>
      </c>
    </row>
    <row r="143" spans="1:8">
      <c r="A143" s="6" t="s">
        <v>5</v>
      </c>
      <c r="B143" s="8">
        <f>(G140-B142)/(B142-1)</f>
        <v>4.601356357139208E-3</v>
      </c>
    </row>
    <row r="144" spans="1:8">
      <c r="A144" s="6" t="s">
        <v>6</v>
      </c>
      <c r="B144" s="21">
        <v>0.57999999999999996</v>
      </c>
    </row>
    <row r="145" spans="1:8">
      <c r="A145" s="6" t="s">
        <v>7</v>
      </c>
      <c r="B145" s="8">
        <f>B143/B144</f>
        <v>7.9333730295503592E-3</v>
      </c>
    </row>
    <row r="146" spans="1:8">
      <c r="B146" s="8"/>
    </row>
    <row r="147" spans="1:8">
      <c r="A147" s="6" t="s">
        <v>54</v>
      </c>
      <c r="B147" s="8"/>
    </row>
    <row r="148" spans="1:8" ht="86">
      <c r="A148" s="1"/>
      <c r="B148" s="3" t="str">
        <f>A149</f>
        <v xml:space="preserve">Автобустар үшін арнайы жолақтар енгізу </v>
      </c>
      <c r="C148" s="3" t="str">
        <f>A150</f>
        <v xml:space="preserve">Адаптивті басқарылатын ақылды бағдаршамдарды енгізу </v>
      </c>
      <c r="D148" s="3" t="str">
        <f>A151</f>
        <v xml:space="preserve">ЛРТ желісін салу немесе кеңейту </v>
      </c>
      <c r="F148" s="18" t="s">
        <v>2</v>
      </c>
      <c r="H148" s="18" t="s">
        <v>3</v>
      </c>
    </row>
    <row r="149" spans="1:8" ht="14">
      <c r="A149" s="4" t="s">
        <v>46</v>
      </c>
      <c r="B149" s="7">
        <v>1</v>
      </c>
      <c r="C149" s="7">
        <v>4</v>
      </c>
      <c r="D149" s="7">
        <v>3</v>
      </c>
      <c r="E149" s="8">
        <f>POWER(PRODUCT(B149:D149),1/3)</f>
        <v>2.2894284851066637</v>
      </c>
      <c r="F149" s="8">
        <f>E149/$E$152</f>
        <v>0.63370792467708237</v>
      </c>
      <c r="G149" s="8">
        <f>B152*F149</f>
        <v>1.0033708807387136</v>
      </c>
      <c r="H149" s="2">
        <f>F149</f>
        <v>0.63370792467708237</v>
      </c>
    </row>
    <row r="150" spans="1:8" ht="14">
      <c r="A150" s="4" t="s">
        <v>47</v>
      </c>
      <c r="B150" s="9">
        <f>1/C149</f>
        <v>0.25</v>
      </c>
      <c r="C150" s="7">
        <v>1</v>
      </c>
      <c r="D150" s="7">
        <v>1</v>
      </c>
      <c r="E150" s="8">
        <f>POWER(PRODUCT(B150:D150),1/3)</f>
        <v>0.6299605249474366</v>
      </c>
      <c r="F150" s="8">
        <f>E150/$E$152</f>
        <v>0.17437145536097684</v>
      </c>
      <c r="G150" s="8">
        <f>C152*F150</f>
        <v>1.046228732165861</v>
      </c>
      <c r="H150" s="2">
        <f t="shared" ref="H150:H151" si="19">F150</f>
        <v>0.17437145536097684</v>
      </c>
    </row>
    <row r="151" spans="1:8" ht="14">
      <c r="A151" s="4" t="s">
        <v>48</v>
      </c>
      <c r="B151" s="9">
        <f>1/D149</f>
        <v>0.33333333333333331</v>
      </c>
      <c r="C151" s="9">
        <f>1/D150</f>
        <v>1</v>
      </c>
      <c r="D151" s="7">
        <v>1</v>
      </c>
      <c r="E151" s="8">
        <f>POWER(PRODUCT(B151:D151),1/3)</f>
        <v>0.69336127435063466</v>
      </c>
      <c r="F151" s="8">
        <f>E151/$E$152</f>
        <v>0.19192061996194079</v>
      </c>
      <c r="G151" s="8">
        <f>D152*F151</f>
        <v>0.95960309980970393</v>
      </c>
      <c r="H151" s="2">
        <f t="shared" si="19"/>
        <v>0.19192061996194079</v>
      </c>
    </row>
    <row r="152" spans="1:8" ht="17">
      <c r="B152" s="8">
        <f>SUM(B149:B151)</f>
        <v>1.5833333333333333</v>
      </c>
      <c r="C152" s="8">
        <f>SUM(C149:C151)</f>
        <v>6</v>
      </c>
      <c r="D152" s="8">
        <f>SUM(D149:D151)</f>
        <v>5</v>
      </c>
      <c r="E152" s="8">
        <f>SUM(E149:E151)</f>
        <v>3.612750284404735</v>
      </c>
      <c r="F152" s="10" t="s">
        <v>10</v>
      </c>
      <c r="G152" s="8">
        <f>SUM(G149:G151)</f>
        <v>3.0092027127142789</v>
      </c>
      <c r="H152" s="11">
        <f>SUM(H149:H151)</f>
        <v>1</v>
      </c>
    </row>
    <row r="153" spans="1:8">
      <c r="A153" s="13"/>
      <c r="B153" s="13"/>
    </row>
    <row r="154" spans="1:8">
      <c r="A154" s="19" t="s">
        <v>4</v>
      </c>
      <c r="B154" s="8">
        <v>3</v>
      </c>
    </row>
    <row r="155" spans="1:8">
      <c r="A155" s="6" t="s">
        <v>5</v>
      </c>
      <c r="B155" s="8">
        <f>(G152-B154)/(B154-1)</f>
        <v>4.60135635713943E-3</v>
      </c>
    </row>
    <row r="156" spans="1:8">
      <c r="A156" s="6" t="s">
        <v>6</v>
      </c>
      <c r="B156" s="21">
        <v>0.57999999999999996</v>
      </c>
    </row>
    <row r="157" spans="1:8">
      <c r="A157" s="6" t="s">
        <v>7</v>
      </c>
      <c r="B157" s="8">
        <f>B155/B156</f>
        <v>7.9333730295507426E-3</v>
      </c>
    </row>
    <row r="158" spans="1:8">
      <c r="B158" s="8"/>
    </row>
    <row r="159" spans="1:8">
      <c r="A159" s="6" t="s">
        <v>55</v>
      </c>
      <c r="B159" s="8"/>
    </row>
    <row r="160" spans="1:8" ht="86">
      <c r="A160" s="1"/>
      <c r="B160" s="3" t="str">
        <f>A161</f>
        <v xml:space="preserve">Автобустар үшін арнайы жолақтар енгізу </v>
      </c>
      <c r="C160" s="3" t="str">
        <f>A162</f>
        <v xml:space="preserve">Адаптивті басқарылатын ақылды бағдаршамдарды енгізу </v>
      </c>
      <c r="D160" s="3" t="str">
        <f>A163</f>
        <v xml:space="preserve">ЛРТ желісін салу немесе кеңейту </v>
      </c>
      <c r="F160" s="18" t="s">
        <v>2</v>
      </c>
      <c r="H160" s="18" t="s">
        <v>3</v>
      </c>
    </row>
    <row r="161" spans="1:8" ht="14">
      <c r="A161" s="4" t="s">
        <v>46</v>
      </c>
      <c r="B161" s="7">
        <v>1</v>
      </c>
      <c r="C161" s="7">
        <v>0.5</v>
      </c>
      <c r="D161" s="7">
        <v>3</v>
      </c>
      <c r="E161" s="8">
        <f>POWER(PRODUCT(B161:D161),1/3)</f>
        <v>1.1447142425533319</v>
      </c>
      <c r="F161" s="8">
        <f>E161/$E$164</f>
        <v>0.36950145614143315</v>
      </c>
      <c r="G161" s="8">
        <f>B164*F161</f>
        <v>1.2316715204714439</v>
      </c>
      <c r="H161" s="2">
        <f>F161</f>
        <v>0.36950145614143315</v>
      </c>
    </row>
    <row r="162" spans="1:8" ht="14">
      <c r="A162" s="4" t="s">
        <v>47</v>
      </c>
      <c r="B162" s="9">
        <f>1/C161</f>
        <v>2</v>
      </c>
      <c r="C162" s="7">
        <v>1</v>
      </c>
      <c r="D162" s="7">
        <v>1</v>
      </c>
      <c r="E162" s="8">
        <f>POWER(PRODUCT(B162:D162),1/3)</f>
        <v>1.2599210498948732</v>
      </c>
      <c r="F162" s="8">
        <f>E162/$E$164</f>
        <v>0.40668897551321365</v>
      </c>
      <c r="G162" s="8">
        <f>C164*F162</f>
        <v>1.016722438783034</v>
      </c>
      <c r="H162" s="2">
        <f t="shared" ref="H162:H163" si="20">F162</f>
        <v>0.40668897551321365</v>
      </c>
    </row>
    <row r="163" spans="1:8" ht="14">
      <c r="A163" s="4" t="s">
        <v>48</v>
      </c>
      <c r="B163" s="9">
        <f>1/D161</f>
        <v>0.33333333333333331</v>
      </c>
      <c r="C163" s="9">
        <f>1/D162</f>
        <v>1</v>
      </c>
      <c r="D163" s="7">
        <v>1</v>
      </c>
      <c r="E163" s="8">
        <f>POWER(PRODUCT(B163:D163),1/3)</f>
        <v>0.69336127435063466</v>
      </c>
      <c r="F163" s="8">
        <f>E163/$E$164</f>
        <v>0.22380956834535326</v>
      </c>
      <c r="G163" s="8">
        <f>D164*F163</f>
        <v>1.1190478417267662</v>
      </c>
      <c r="H163" s="2">
        <f t="shared" si="20"/>
        <v>0.22380956834535326</v>
      </c>
    </row>
    <row r="164" spans="1:8" ht="17">
      <c r="B164" s="8">
        <f>SUM(B161:B163)</f>
        <v>3.3333333333333335</v>
      </c>
      <c r="C164" s="8">
        <f>SUM(C161:C163)</f>
        <v>2.5</v>
      </c>
      <c r="D164" s="8">
        <f>SUM(D161:D163)</f>
        <v>5</v>
      </c>
      <c r="E164" s="8">
        <f>SUM(E161:E163)</f>
        <v>3.0979965667988396</v>
      </c>
      <c r="F164" s="10" t="s">
        <v>10</v>
      </c>
      <c r="G164" s="8">
        <f>SUM(G161:G163)</f>
        <v>3.3674418009812439</v>
      </c>
      <c r="H164" s="11">
        <f>SUM(H161:H163)</f>
        <v>1</v>
      </c>
    </row>
    <row r="165" spans="1:8">
      <c r="A165" s="13"/>
      <c r="B165" s="13"/>
    </row>
    <row r="166" spans="1:8">
      <c r="A166" s="19" t="s">
        <v>4</v>
      </c>
      <c r="B166" s="8">
        <v>3</v>
      </c>
    </row>
    <row r="167" spans="1:8">
      <c r="A167" s="6" t="s">
        <v>5</v>
      </c>
      <c r="B167" s="8">
        <f>(G164-B166)/(B166-1)</f>
        <v>0.18372090049062195</v>
      </c>
    </row>
    <row r="168" spans="1:8">
      <c r="A168" s="6" t="s">
        <v>6</v>
      </c>
      <c r="B168" s="21">
        <v>0.57999999999999996</v>
      </c>
    </row>
    <row r="169" spans="1:8">
      <c r="A169" s="6" t="s">
        <v>7</v>
      </c>
      <c r="B169" s="8">
        <f>B167/B168</f>
        <v>0.31676017325969302</v>
      </c>
    </row>
    <row r="170" spans="1:8">
      <c r="B170" s="8"/>
    </row>
    <row r="171" spans="1:8">
      <c r="A171" s="13"/>
      <c r="B171" s="13"/>
    </row>
    <row r="172" spans="1:8">
      <c r="A172" s="6" t="s">
        <v>56</v>
      </c>
      <c r="B172" s="8"/>
    </row>
    <row r="173" spans="1:8" ht="86">
      <c r="A173" s="1"/>
      <c r="B173" s="3" t="str">
        <f>A174</f>
        <v xml:space="preserve">Автобустар үшін арнайы жолақтар енгізу </v>
      </c>
      <c r="C173" s="3" t="str">
        <f>A175</f>
        <v xml:space="preserve">Адаптивті басқарылатын ақылды бағдаршамдарды енгізу </v>
      </c>
      <c r="D173" s="3" t="str">
        <f>A176</f>
        <v xml:space="preserve">ЛРТ желісін салу немесе кеңейту </v>
      </c>
      <c r="F173" s="18" t="s">
        <v>2</v>
      </c>
      <c r="H173" s="18" t="s">
        <v>3</v>
      </c>
    </row>
    <row r="174" spans="1:8" ht="14">
      <c r="A174" s="4" t="s">
        <v>46</v>
      </c>
      <c r="B174" s="7">
        <v>1</v>
      </c>
      <c r="C174" s="7">
        <v>3</v>
      </c>
      <c r="D174" s="7">
        <v>2</v>
      </c>
      <c r="E174" s="8">
        <f>POWER(PRODUCT(B174:D174),1/3)</f>
        <v>1.8171205928321397</v>
      </c>
      <c r="F174" s="8">
        <f>E174/$E$177</f>
        <v>0.54721643494168148</v>
      </c>
      <c r="G174" s="8">
        <f>B177*F174</f>
        <v>1.003230130726416</v>
      </c>
      <c r="H174" s="2">
        <f>F174</f>
        <v>0.54721643494168148</v>
      </c>
    </row>
    <row r="175" spans="1:8" ht="14">
      <c r="A175" s="4" t="s">
        <v>47</v>
      </c>
      <c r="B175" s="9">
        <f>1/C174</f>
        <v>0.33333333333333331</v>
      </c>
      <c r="C175" s="7">
        <v>1</v>
      </c>
      <c r="D175" s="7">
        <v>2</v>
      </c>
      <c r="E175" s="8">
        <f>POWER(PRODUCT(B175:D175),1/3)</f>
        <v>0.87358046473629891</v>
      </c>
      <c r="F175" s="8">
        <f>E175/$E$177</f>
        <v>0.26307422271993069</v>
      </c>
      <c r="G175" s="8">
        <f>C177*F175</f>
        <v>1.183834002239688</v>
      </c>
      <c r="H175" s="2">
        <f t="shared" ref="H175:H176" si="21">F175</f>
        <v>0.26307422271993069</v>
      </c>
    </row>
    <row r="176" spans="1:8" ht="14">
      <c r="A176" s="4" t="s">
        <v>48</v>
      </c>
      <c r="B176" s="9">
        <f>1/D174</f>
        <v>0.5</v>
      </c>
      <c r="C176" s="9">
        <f>1/D175</f>
        <v>0.5</v>
      </c>
      <c r="D176" s="7">
        <v>1</v>
      </c>
      <c r="E176" s="8">
        <f>POWER(PRODUCT(B176:D176),1/3)</f>
        <v>0.6299605249474366</v>
      </c>
      <c r="F176" s="8">
        <f>E176/$E$177</f>
        <v>0.18970934233838774</v>
      </c>
      <c r="G176" s="8">
        <f>D177*F176</f>
        <v>0.94854671169193872</v>
      </c>
      <c r="H176" s="2">
        <f t="shared" si="21"/>
        <v>0.18970934233838774</v>
      </c>
    </row>
    <row r="177" spans="1:8" ht="17">
      <c r="B177" s="8">
        <f>SUM(B174:B176)</f>
        <v>1.8333333333333333</v>
      </c>
      <c r="C177" s="8">
        <f>SUM(C174:C176)</f>
        <v>4.5</v>
      </c>
      <c r="D177" s="8">
        <f>SUM(D174:D176)</f>
        <v>5</v>
      </c>
      <c r="E177" s="8">
        <f>SUM(E174:E176)</f>
        <v>3.3206615825158754</v>
      </c>
      <c r="F177" s="10" t="s">
        <v>10</v>
      </c>
      <c r="G177" s="8">
        <f>SUM(G174:G176)</f>
        <v>3.1356108446580429</v>
      </c>
      <c r="H177" s="11">
        <f>SUM(H174:H176)</f>
        <v>1</v>
      </c>
    </row>
    <row r="178" spans="1:8">
      <c r="A178" s="13"/>
      <c r="B178" s="13"/>
    </row>
    <row r="179" spans="1:8">
      <c r="A179" s="19" t="s">
        <v>4</v>
      </c>
      <c r="B179" s="8">
        <v>3</v>
      </c>
    </row>
    <row r="180" spans="1:8">
      <c r="A180" s="6" t="s">
        <v>5</v>
      </c>
      <c r="B180" s="8">
        <f>(G177-B179)/(B179-1)</f>
        <v>6.7805422329021425E-2</v>
      </c>
    </row>
    <row r="181" spans="1:8">
      <c r="A181" s="6" t="s">
        <v>6</v>
      </c>
      <c r="B181" s="21">
        <v>0.57999999999999996</v>
      </c>
    </row>
    <row r="182" spans="1:8">
      <c r="A182" s="6" t="s">
        <v>7</v>
      </c>
      <c r="B182" s="8">
        <f>B180/B181</f>
        <v>0.11690590056727833</v>
      </c>
    </row>
    <row r="183" spans="1:8">
      <c r="B183" s="8"/>
    </row>
    <row r="184" spans="1:8">
      <c r="B184" s="8"/>
      <c r="C184" s="8"/>
      <c r="D184" s="8"/>
      <c r="E184" s="8"/>
      <c r="F184" s="10"/>
      <c r="G184" s="8"/>
      <c r="H184" s="11"/>
    </row>
    <row r="185" spans="1:8">
      <c r="A185" s="6" t="s">
        <v>57</v>
      </c>
      <c r="B185" s="8"/>
    </row>
    <row r="186" spans="1:8" ht="86">
      <c r="A186" s="1"/>
      <c r="B186" s="3" t="str">
        <f>A187</f>
        <v xml:space="preserve">Автобустар үшін арнайы жолақтар енгізу </v>
      </c>
      <c r="C186" s="3" t="str">
        <f>A188</f>
        <v xml:space="preserve">Адаптивті басқарылатын ақылды бағдаршамдарды енгізу </v>
      </c>
      <c r="D186" s="3" t="str">
        <f>A189</f>
        <v xml:space="preserve">ЛРТ желісін салу немесе кеңейту </v>
      </c>
      <c r="F186" s="18" t="s">
        <v>2</v>
      </c>
      <c r="H186" s="18" t="s">
        <v>3</v>
      </c>
    </row>
    <row r="187" spans="1:8" ht="14">
      <c r="A187" s="4" t="s">
        <v>46</v>
      </c>
      <c r="B187" s="7">
        <v>1</v>
      </c>
      <c r="C187" s="7">
        <v>1</v>
      </c>
      <c r="D187" s="7">
        <v>0.5</v>
      </c>
      <c r="E187" s="8">
        <f>POWER(PRODUCT(B187:D187),1/3)</f>
        <v>0.79370052598409979</v>
      </c>
      <c r="F187" s="8">
        <f>E187/$E$190</f>
        <v>0.25992104989487319</v>
      </c>
      <c r="G187" s="8">
        <f>B190*F187</f>
        <v>1.0396841995794928</v>
      </c>
      <c r="H187" s="2">
        <f>F187</f>
        <v>0.25992104989487319</v>
      </c>
    </row>
    <row r="188" spans="1:8" ht="14">
      <c r="A188" s="4" t="s">
        <v>47</v>
      </c>
      <c r="B188" s="9">
        <f>1/C187</f>
        <v>1</v>
      </c>
      <c r="C188" s="7">
        <v>1</v>
      </c>
      <c r="D188" s="7">
        <v>2</v>
      </c>
      <c r="E188" s="8">
        <f>POWER(PRODUCT(B188:D188),1/3)</f>
        <v>1.2599210498948732</v>
      </c>
      <c r="F188" s="8">
        <f>E188/$E$190</f>
        <v>0.41259894803180053</v>
      </c>
      <c r="G188" s="8">
        <f>C190*F188</f>
        <v>1.0314973700795014</v>
      </c>
      <c r="H188" s="2">
        <f t="shared" ref="H188:H189" si="22">F188</f>
        <v>0.41259894803180053</v>
      </c>
    </row>
    <row r="189" spans="1:8" ht="14">
      <c r="A189" s="4" t="s">
        <v>48</v>
      </c>
      <c r="B189" s="9">
        <f>1/D187</f>
        <v>2</v>
      </c>
      <c r="C189" s="9">
        <f>1/D188</f>
        <v>0.5</v>
      </c>
      <c r="D189" s="7">
        <v>1</v>
      </c>
      <c r="E189" s="8">
        <f>POWER(PRODUCT(B189:D189),1/3)</f>
        <v>1</v>
      </c>
      <c r="F189" s="8">
        <f>E189/$E$190</f>
        <v>0.32748000207332628</v>
      </c>
      <c r="G189" s="8">
        <f>D190*F189</f>
        <v>1.1461800072566419</v>
      </c>
      <c r="H189" s="2">
        <f t="shared" si="22"/>
        <v>0.32748000207332628</v>
      </c>
    </row>
    <row r="190" spans="1:8" ht="17">
      <c r="B190" s="8">
        <f>SUM(B187:B189)</f>
        <v>4</v>
      </c>
      <c r="C190" s="8">
        <f>SUM(C187:C189)</f>
        <v>2.5</v>
      </c>
      <c r="D190" s="8">
        <f>SUM(D187:D189)</f>
        <v>3.5</v>
      </c>
      <c r="E190" s="8">
        <f>SUM(E187:E189)</f>
        <v>3.0536215758789731</v>
      </c>
      <c r="F190" s="10" t="s">
        <v>10</v>
      </c>
      <c r="G190" s="8">
        <f>SUM(G187:G189)</f>
        <v>3.2173615769156356</v>
      </c>
      <c r="H190" s="11">
        <f>SUM(H187:H189)</f>
        <v>1</v>
      </c>
    </row>
    <row r="191" spans="1:8">
      <c r="A191" s="13"/>
      <c r="B191" s="13"/>
    </row>
    <row r="192" spans="1:8">
      <c r="A192" s="19" t="s">
        <v>4</v>
      </c>
      <c r="B192" s="8">
        <v>3</v>
      </c>
    </row>
    <row r="193" spans="1:11">
      <c r="A193" s="6" t="s">
        <v>5</v>
      </c>
      <c r="B193" s="8">
        <f>(G190-B192)/(B192-1)</f>
        <v>0.10868078845781781</v>
      </c>
    </row>
    <row r="194" spans="1:11">
      <c r="A194" s="6" t="s">
        <v>6</v>
      </c>
      <c r="B194" s="21">
        <v>0.57999999999999996</v>
      </c>
    </row>
    <row r="195" spans="1:11">
      <c r="A195" s="6" t="s">
        <v>7</v>
      </c>
      <c r="B195" s="8">
        <f>B193/B194</f>
        <v>0.18738066975485831</v>
      </c>
    </row>
    <row r="196" spans="1:11">
      <c r="B196" s="8"/>
    </row>
    <row r="197" spans="1:11">
      <c r="B197" s="8"/>
    </row>
    <row r="198" spans="1:11">
      <c r="B198" s="8"/>
    </row>
    <row r="199" spans="1:11">
      <c r="A199" s="13" t="s">
        <v>15</v>
      </c>
    </row>
    <row r="200" spans="1:11">
      <c r="A200" s="6" t="s">
        <v>58</v>
      </c>
    </row>
    <row r="201" spans="1:11" ht="95.25" customHeight="1">
      <c r="A201" s="1"/>
      <c r="B201" s="3" t="s">
        <v>12</v>
      </c>
      <c r="C201" s="3" t="s">
        <v>13</v>
      </c>
      <c r="D201" s="3" t="s">
        <v>14</v>
      </c>
      <c r="F201" s="18" t="s">
        <v>2</v>
      </c>
      <c r="H201" s="18" t="s">
        <v>3</v>
      </c>
    </row>
    <row r="202" spans="1:11" ht="14">
      <c r="A202" s="4" t="s">
        <v>12</v>
      </c>
      <c r="B202" s="7">
        <v>1</v>
      </c>
      <c r="C202" s="7">
        <v>0.5</v>
      </c>
      <c r="D202" s="7">
        <v>0.5</v>
      </c>
      <c r="E202" s="8">
        <f>POWER(PRODUCT(B202:D202),1/3)</f>
        <v>0.6299605249474366</v>
      </c>
      <c r="F202" s="8">
        <f>E202/$E$205</f>
        <v>0.18970934233838777</v>
      </c>
      <c r="G202" s="8">
        <f>B205*F202</f>
        <v>0.94854671169193883</v>
      </c>
      <c r="H202" s="2">
        <f>F202</f>
        <v>0.18970934233838777</v>
      </c>
      <c r="K202" s="8"/>
    </row>
    <row r="203" spans="1:11" ht="14">
      <c r="A203" s="4" t="s">
        <v>13</v>
      </c>
      <c r="B203" s="9">
        <f>1/C202</f>
        <v>2</v>
      </c>
      <c r="C203" s="7">
        <v>1</v>
      </c>
      <c r="D203" s="7">
        <v>0.33333333333333331</v>
      </c>
      <c r="E203" s="8">
        <f>POWER(PRODUCT(B203:D203),1/3)</f>
        <v>0.87358046473629891</v>
      </c>
      <c r="F203" s="8">
        <f>E203/$E$205</f>
        <v>0.26307422271993075</v>
      </c>
      <c r="G203" s="8">
        <f>C205*F203</f>
        <v>1.1838340022396885</v>
      </c>
      <c r="H203" s="2">
        <f>F203</f>
        <v>0.26307422271993075</v>
      </c>
      <c r="K203" s="8"/>
    </row>
    <row r="204" spans="1:11" ht="14">
      <c r="A204" s="4" t="s">
        <v>14</v>
      </c>
      <c r="B204" s="9">
        <f>1/D202</f>
        <v>2</v>
      </c>
      <c r="C204" s="9">
        <f>1/D203</f>
        <v>3</v>
      </c>
      <c r="D204" s="7">
        <v>1</v>
      </c>
      <c r="E204" s="8">
        <f>POWER(PRODUCT(B204:D204),1/3)</f>
        <v>1.8171205928321397</v>
      </c>
      <c r="F204" s="8">
        <f>E204/$E$205</f>
        <v>0.5472164349416816</v>
      </c>
      <c r="G204" s="20">
        <f>D205*F204</f>
        <v>1.0032301307264162</v>
      </c>
      <c r="H204" s="2">
        <f>F204</f>
        <v>0.5472164349416816</v>
      </c>
      <c r="K204" s="8"/>
    </row>
    <row r="205" spans="1:11" ht="17">
      <c r="B205" s="8">
        <f>SUM(B202:B204)</f>
        <v>5</v>
      </c>
      <c r="C205" s="8">
        <f>SUM(C202:C204)</f>
        <v>4.5</v>
      </c>
      <c r="D205" s="8">
        <f>SUM(D202:D204)</f>
        <v>1.8333333333333333</v>
      </c>
      <c r="E205" s="8">
        <f>SUM(E202:E204)</f>
        <v>3.320661582515875</v>
      </c>
      <c r="F205" s="10" t="s">
        <v>10</v>
      </c>
      <c r="G205" s="8">
        <f>SUM(G202:G204)</f>
        <v>3.1356108446580433</v>
      </c>
      <c r="H205" s="11">
        <f>SUM(H202:H204)</f>
        <v>1</v>
      </c>
      <c r="K205" s="8"/>
    </row>
    <row r="206" spans="1:11">
      <c r="B206" s="8"/>
      <c r="C206" s="8"/>
      <c r="D206" s="8"/>
      <c r="E206" s="8"/>
      <c r="F206" s="10"/>
      <c r="G206" s="8"/>
      <c r="H206" s="11"/>
      <c r="K206" s="8"/>
    </row>
    <row r="207" spans="1:11">
      <c r="A207" s="19" t="s">
        <v>4</v>
      </c>
      <c r="B207" s="8">
        <v>3</v>
      </c>
      <c r="C207" s="8"/>
      <c r="D207" s="8"/>
      <c r="E207" s="8"/>
      <c r="F207" s="10"/>
      <c r="G207" s="8"/>
      <c r="H207" s="11"/>
      <c r="K207" s="8"/>
    </row>
    <row r="208" spans="1:11">
      <c r="A208" s="6" t="s">
        <v>5</v>
      </c>
      <c r="B208" s="8">
        <f>(G205-B207)/(B207-1)</f>
        <v>6.7805422329021647E-2</v>
      </c>
      <c r="C208" s="8"/>
      <c r="D208" s="8"/>
      <c r="E208" s="8"/>
      <c r="F208" s="10"/>
      <c r="G208" s="8"/>
      <c r="H208" s="11"/>
      <c r="K208" s="8"/>
    </row>
    <row r="209" spans="1:11">
      <c r="A209" s="6" t="s">
        <v>6</v>
      </c>
      <c r="B209" s="23">
        <v>0.57999999999999996</v>
      </c>
    </row>
    <row r="210" spans="1:11">
      <c r="A210" s="6" t="s">
        <v>7</v>
      </c>
      <c r="B210" s="8">
        <f>B208/B209</f>
        <v>0.11690590056727872</v>
      </c>
    </row>
    <row r="212" spans="1:11">
      <c r="A212" s="6" t="s">
        <v>59</v>
      </c>
    </row>
    <row r="213" spans="1:11" ht="95.25" customHeight="1">
      <c r="A213" s="1"/>
      <c r="B213" s="3" t="s">
        <v>12</v>
      </c>
      <c r="C213" s="3" t="s">
        <v>13</v>
      </c>
      <c r="D213" s="3" t="s">
        <v>14</v>
      </c>
      <c r="F213" s="18" t="s">
        <v>2</v>
      </c>
      <c r="H213" s="18" t="s">
        <v>3</v>
      </c>
    </row>
    <row r="214" spans="1:11" ht="14">
      <c r="A214" s="4" t="s">
        <v>12</v>
      </c>
      <c r="B214" s="7">
        <v>1</v>
      </c>
      <c r="C214" s="7">
        <v>0.33333333333333331</v>
      </c>
      <c r="D214" s="7">
        <v>0.5</v>
      </c>
      <c r="E214" s="8">
        <f>POWER(PRODUCT(B214:D214),1/3)</f>
        <v>0.55032120814910446</v>
      </c>
      <c r="F214" s="8">
        <f>E214/$E$217</f>
        <v>0.16919987418632496</v>
      </c>
      <c r="G214" s="8">
        <f>B217*F214</f>
        <v>1.0151992451179497</v>
      </c>
      <c r="H214" s="2">
        <f>F214</f>
        <v>0.16919987418632496</v>
      </c>
      <c r="K214" s="8"/>
    </row>
    <row r="215" spans="1:11" ht="14">
      <c r="A215" s="4" t="s">
        <v>13</v>
      </c>
      <c r="B215" s="9">
        <f>1/C214</f>
        <v>3</v>
      </c>
      <c r="C215" s="7">
        <v>1</v>
      </c>
      <c r="D215" s="7">
        <v>1</v>
      </c>
      <c r="E215" s="8">
        <f>POWER(PRODUCT(B215:D215),1/3)</f>
        <v>1.4422495703074083</v>
      </c>
      <c r="F215" s="8">
        <f>E215/$E$217</f>
        <v>0.44342911417503911</v>
      </c>
      <c r="G215" s="8">
        <f>C217*F215</f>
        <v>1.0346679330750912</v>
      </c>
      <c r="H215" s="2">
        <f>F215</f>
        <v>0.44342911417503911</v>
      </c>
      <c r="K215" s="8"/>
    </row>
    <row r="216" spans="1:11" ht="14">
      <c r="A216" s="4" t="s">
        <v>14</v>
      </c>
      <c r="B216" s="9">
        <f>1/D214</f>
        <v>2</v>
      </c>
      <c r="C216" s="9">
        <f>1/D215</f>
        <v>1</v>
      </c>
      <c r="D216" s="7">
        <v>1</v>
      </c>
      <c r="E216" s="8">
        <f>POWER(PRODUCT(B216:D216),1/3)</f>
        <v>1.2599210498948732</v>
      </c>
      <c r="F216" s="8">
        <f>E216/$E$217</f>
        <v>0.38737101163863602</v>
      </c>
      <c r="G216" s="20">
        <f>D217*F216</f>
        <v>0.96842752909659002</v>
      </c>
      <c r="H216" s="2">
        <f>F216</f>
        <v>0.38737101163863602</v>
      </c>
      <c r="K216" s="8"/>
    </row>
    <row r="217" spans="1:11" ht="17">
      <c r="B217" s="8">
        <f>SUM(B214:B216)</f>
        <v>6</v>
      </c>
      <c r="C217" s="8">
        <f>SUM(C214:C216)</f>
        <v>2.333333333333333</v>
      </c>
      <c r="D217" s="8">
        <f>SUM(D214:D216)</f>
        <v>2.5</v>
      </c>
      <c r="E217" s="8">
        <f>SUM(E214:E216)</f>
        <v>3.2524918283513857</v>
      </c>
      <c r="F217" s="10" t="s">
        <v>10</v>
      </c>
      <c r="G217" s="8">
        <f>SUM(G214:G216)</f>
        <v>3.0182947072896305</v>
      </c>
      <c r="H217" s="11">
        <f>SUM(H214:H216)</f>
        <v>1</v>
      </c>
      <c r="K217" s="8"/>
    </row>
    <row r="218" spans="1:11">
      <c r="B218" s="8"/>
      <c r="C218" s="8"/>
      <c r="D218" s="8"/>
      <c r="E218" s="8"/>
      <c r="F218" s="8"/>
      <c r="G218" s="8"/>
      <c r="H218" s="10"/>
      <c r="I218" s="8"/>
      <c r="J218" s="11"/>
      <c r="K218" s="8"/>
    </row>
    <row r="219" spans="1:11">
      <c r="A219" s="19" t="s">
        <v>4</v>
      </c>
      <c r="B219" s="8">
        <v>3</v>
      </c>
      <c r="C219" s="8"/>
      <c r="D219" s="8"/>
      <c r="E219" s="8"/>
      <c r="F219" s="8"/>
      <c r="G219" s="8"/>
      <c r="H219" s="10"/>
      <c r="I219" s="8"/>
      <c r="J219" s="11"/>
      <c r="K219" s="8"/>
    </row>
    <row r="220" spans="1:11">
      <c r="A220" s="6" t="s">
        <v>5</v>
      </c>
      <c r="B220" s="8">
        <f>(G217-B219)/(B219-1)</f>
        <v>9.1473536448152259E-3</v>
      </c>
      <c r="C220" s="8"/>
      <c r="D220" s="8"/>
      <c r="E220" s="8"/>
      <c r="F220" s="8"/>
      <c r="G220" s="8"/>
      <c r="H220" s="10"/>
      <c r="I220" s="8"/>
      <c r="J220" s="11"/>
      <c r="K220" s="8"/>
    </row>
    <row r="221" spans="1:11">
      <c r="A221" s="6" t="s">
        <v>6</v>
      </c>
      <c r="B221" s="23">
        <v>0.57999999999999996</v>
      </c>
    </row>
    <row r="222" spans="1:11">
      <c r="A222" s="6" t="s">
        <v>7</v>
      </c>
      <c r="B222" s="8">
        <f>B220/B221</f>
        <v>1.5771299387612459E-2</v>
      </c>
    </row>
    <row r="224" spans="1:11">
      <c r="A224" s="6" t="s">
        <v>60</v>
      </c>
    </row>
    <row r="225" spans="1:13" ht="95.25" customHeight="1">
      <c r="A225" s="1"/>
      <c r="B225" s="3" t="s">
        <v>12</v>
      </c>
      <c r="C225" s="3" t="s">
        <v>13</v>
      </c>
      <c r="D225" s="3" t="s">
        <v>14</v>
      </c>
      <c r="F225" s="18" t="s">
        <v>2</v>
      </c>
      <c r="H225" s="18" t="s">
        <v>3</v>
      </c>
    </row>
    <row r="226" spans="1:13" ht="14">
      <c r="A226" s="4" t="s">
        <v>12</v>
      </c>
      <c r="B226" s="7">
        <v>1</v>
      </c>
      <c r="C226" s="7">
        <v>0.5</v>
      </c>
      <c r="D226" s="7">
        <v>0.33333333333333331</v>
      </c>
      <c r="E226" s="8">
        <f>POWER(PRODUCT(B226:D226),1/3)</f>
        <v>0.55032120814910446</v>
      </c>
      <c r="F226" s="8">
        <f>E226/$E$229</f>
        <v>0.16765631496644506</v>
      </c>
      <c r="G226" s="8">
        <f>B229*F226</f>
        <v>1.0059378897986704</v>
      </c>
      <c r="H226" s="2">
        <f>F226</f>
        <v>0.16765631496644506</v>
      </c>
      <c r="K226" s="8"/>
    </row>
    <row r="227" spans="1:13" ht="14">
      <c r="A227" s="4" t="s">
        <v>13</v>
      </c>
      <c r="B227" s="9">
        <f>1/C226</f>
        <v>2</v>
      </c>
      <c r="C227" s="7">
        <v>1</v>
      </c>
      <c r="D227" s="7">
        <v>2</v>
      </c>
      <c r="E227" s="8">
        <f>POWER(PRODUCT(B227:D227),1/3)</f>
        <v>1.5874010519681994</v>
      </c>
      <c r="F227" s="8">
        <f>E227/$E$229</f>
        <v>0.48360449643935777</v>
      </c>
      <c r="G227" s="8">
        <f>C229*F227</f>
        <v>0.96720899287871553</v>
      </c>
      <c r="H227" s="2">
        <f>F227</f>
        <v>0.48360449643935777</v>
      </c>
      <c r="K227" s="8"/>
    </row>
    <row r="228" spans="1:13" ht="14">
      <c r="A228" s="4" t="s">
        <v>14</v>
      </c>
      <c r="B228" s="9">
        <f>1/D226</f>
        <v>3</v>
      </c>
      <c r="C228" s="9">
        <f>1/D227</f>
        <v>0.5</v>
      </c>
      <c r="D228" s="7">
        <v>1</v>
      </c>
      <c r="E228" s="8">
        <f>POWER(PRODUCT(B228:D228),1/3)</f>
        <v>1.1447142425533319</v>
      </c>
      <c r="F228" s="8">
        <f>E228/$E$229</f>
        <v>0.34873918859419722</v>
      </c>
      <c r="G228" s="20">
        <f>D229*F228</f>
        <v>1.1624639619806574</v>
      </c>
      <c r="H228" s="2">
        <f>F228</f>
        <v>0.34873918859419722</v>
      </c>
      <c r="K228" s="8"/>
    </row>
    <row r="229" spans="1:13" ht="17">
      <c r="B229" s="8">
        <f>SUM(B226:B228)</f>
        <v>6</v>
      </c>
      <c r="C229" s="8">
        <f>SUM(C226:C228)</f>
        <v>2</v>
      </c>
      <c r="D229" s="8">
        <f>SUM(D226:D228)</f>
        <v>3.3333333333333335</v>
      </c>
      <c r="E229" s="8">
        <f>SUM(E226:E228)</f>
        <v>3.2824365026706355</v>
      </c>
      <c r="F229" s="10" t="s">
        <v>10</v>
      </c>
      <c r="G229" s="8">
        <f>SUM(G226:G228)</f>
        <v>3.1356108446580433</v>
      </c>
      <c r="H229" s="11">
        <f>SUM(H226:H228)</f>
        <v>1</v>
      </c>
      <c r="K229" s="8">
        <v>0.44388874583503241</v>
      </c>
    </row>
    <row r="230" spans="1:13">
      <c r="B230" s="8"/>
      <c r="C230" s="8"/>
      <c r="D230" s="8"/>
      <c r="E230" s="8"/>
      <c r="F230" s="8"/>
      <c r="G230" s="8"/>
      <c r="H230" s="10"/>
      <c r="I230" s="8"/>
      <c r="J230" s="11"/>
      <c r="K230" s="8">
        <v>2.6633505037124076E-2</v>
      </c>
    </row>
    <row r="231" spans="1:13">
      <c r="A231" s="19" t="s">
        <v>4</v>
      </c>
      <c r="B231" s="8">
        <v>3</v>
      </c>
      <c r="C231" s="8"/>
      <c r="D231" s="8"/>
      <c r="E231" s="8"/>
      <c r="F231" s="8"/>
      <c r="G231" s="8"/>
      <c r="H231" s="10"/>
      <c r="I231" s="8"/>
      <c r="J231" s="11"/>
      <c r="K231" s="8">
        <v>0.10019679616394257</v>
      </c>
    </row>
    <row r="232" spans="1:13">
      <c r="A232" s="6" t="s">
        <v>5</v>
      </c>
      <c r="B232" s="8">
        <f>(G229-B231)/(B231-1)</f>
        <v>6.7805422329021647E-2</v>
      </c>
      <c r="C232" s="8"/>
      <c r="D232" s="8"/>
      <c r="E232" s="8"/>
      <c r="F232" s="8"/>
      <c r="G232" s="8"/>
      <c r="H232" s="10"/>
      <c r="I232" s="8"/>
      <c r="J232" s="11"/>
      <c r="K232" s="8">
        <v>4.9355720366969467E-2</v>
      </c>
    </row>
    <row r="233" spans="1:13">
      <c r="A233" s="6" t="s">
        <v>6</v>
      </c>
      <c r="B233" s="23">
        <v>0.57999999999999996</v>
      </c>
      <c r="K233" s="6">
        <v>0.15160634441349277</v>
      </c>
    </row>
    <row r="234" spans="1:13">
      <c r="A234" s="6" t="s">
        <v>7</v>
      </c>
      <c r="B234" s="8">
        <f>B232/B233</f>
        <v>0.11690590056727872</v>
      </c>
      <c r="K234" s="6">
        <v>0.22831888818343873</v>
      </c>
    </row>
    <row r="238" spans="1:13">
      <c r="C238" s="8"/>
    </row>
    <row r="239" spans="1:13">
      <c r="A239" s="13" t="s">
        <v>8</v>
      </c>
      <c r="C239" s="8"/>
    </row>
    <row r="240" spans="1:13">
      <c r="B240" s="6" t="s">
        <v>23</v>
      </c>
      <c r="C240" s="15" t="s">
        <v>22</v>
      </c>
      <c r="D240" s="6" t="s">
        <v>21</v>
      </c>
      <c r="E240" s="6" t="s">
        <v>19</v>
      </c>
      <c r="F240" s="15" t="s">
        <v>17</v>
      </c>
      <c r="G240" s="15" t="s">
        <v>20</v>
      </c>
      <c r="H240" s="6" t="s">
        <v>19</v>
      </c>
      <c r="I240" s="6" t="s">
        <v>18</v>
      </c>
      <c r="J240" s="15" t="s">
        <v>17</v>
      </c>
      <c r="K240" s="6" t="s">
        <v>16</v>
      </c>
      <c r="M240" s="6" t="s">
        <v>9</v>
      </c>
    </row>
    <row r="241" spans="1:16" ht="14">
      <c r="A241" s="5" t="s">
        <v>46</v>
      </c>
      <c r="B241" s="8">
        <f>F77</f>
        <v>0.59363368526030014</v>
      </c>
      <c r="C241" s="8">
        <f>F89</f>
        <v>0.41259894803180053</v>
      </c>
      <c r="D241" s="8">
        <f>F101</f>
        <v>0.49338596673675117</v>
      </c>
      <c r="E241" s="8">
        <f>F113</f>
        <v>0.63370792467708237</v>
      </c>
      <c r="F241" s="8">
        <f>F125</f>
        <v>0.54721643494168148</v>
      </c>
      <c r="G241" s="8">
        <f>F137</f>
        <v>0.63370792467708237</v>
      </c>
      <c r="H241" s="8">
        <f>F149</f>
        <v>0.63370792467708237</v>
      </c>
      <c r="I241" s="8">
        <f>F161</f>
        <v>0.36950145614143315</v>
      </c>
      <c r="J241" s="8">
        <f>F174</f>
        <v>0.54721643494168148</v>
      </c>
      <c r="K241" s="8">
        <f>F187</f>
        <v>0.25992104989487319</v>
      </c>
      <c r="L241" s="8"/>
      <c r="M241" s="6" t="e">
        <f>#REF!*$H$5 +#REF!* $H$6 +#REF!*$H$7+#REF!*$H$8+#REF!*$H$9</f>
        <v>#REF!</v>
      </c>
      <c r="N241" s="8"/>
    </row>
    <row r="242" spans="1:16" ht="14">
      <c r="A242" s="5" t="s">
        <v>47</v>
      </c>
      <c r="B242" s="8">
        <f>F78</f>
        <v>0.24931052532870668</v>
      </c>
      <c r="C242" s="8">
        <f>F90</f>
        <v>0.32748000207332628</v>
      </c>
      <c r="D242" s="8">
        <f>F102</f>
        <v>0.31081368260718228</v>
      </c>
      <c r="E242" s="8">
        <f>F114</f>
        <v>0.17437145536097684</v>
      </c>
      <c r="F242" s="8">
        <f>F126</f>
        <v>0.26307422271993069</v>
      </c>
      <c r="G242" s="8">
        <f>F138</f>
        <v>0.19192061996194079</v>
      </c>
      <c r="H242" s="8">
        <f>F150</f>
        <v>0.17437145536097684</v>
      </c>
      <c r="I242" s="8">
        <f>F162</f>
        <v>0.40668897551321365</v>
      </c>
      <c r="J242" s="8">
        <f>F175</f>
        <v>0.26307422271993069</v>
      </c>
      <c r="K242" s="8">
        <f>F188</f>
        <v>0.41259894803180053</v>
      </c>
      <c r="L242" s="8"/>
      <c r="M242" s="6" t="e">
        <f>#REF!*$H$5 +#REF!* $H$6 +#REF!*$H$7+#REF!*$H$8+#REF!*$H$9</f>
        <v>#REF!</v>
      </c>
    </row>
    <row r="243" spans="1:16" ht="14">
      <c r="A243" s="5" t="s">
        <v>48</v>
      </c>
      <c r="B243" s="8">
        <f>F79</f>
        <v>0.15705578941099324</v>
      </c>
      <c r="C243" s="8">
        <f>F91</f>
        <v>0.25992104989487319</v>
      </c>
      <c r="D243" s="8">
        <f>F103</f>
        <v>0.19580035065606649</v>
      </c>
      <c r="E243" s="8">
        <f>F115</f>
        <v>0.19192061996194079</v>
      </c>
      <c r="F243" s="8">
        <f>F127</f>
        <v>0.18970934233838774</v>
      </c>
      <c r="G243" s="8">
        <f>F139</f>
        <v>0.17437145536097684</v>
      </c>
      <c r="H243" s="8">
        <f>F151</f>
        <v>0.19192061996194079</v>
      </c>
      <c r="I243" s="8">
        <f>F163</f>
        <v>0.22380956834535326</v>
      </c>
      <c r="J243" s="8">
        <f>F176</f>
        <v>0.18970934233838774</v>
      </c>
      <c r="K243" s="8">
        <f>F189</f>
        <v>0.32748000207332628</v>
      </c>
      <c r="L243" s="8"/>
      <c r="M243" s="6" t="e">
        <f>#REF!*$H$5 +#REF!* $H$6 +#REF!*$H$7+#REF!*$H$8+#REF!*$H$9</f>
        <v>#REF!</v>
      </c>
    </row>
    <row r="245" spans="1:16">
      <c r="A245" s="13" t="s">
        <v>0</v>
      </c>
    </row>
    <row r="246" spans="1:16">
      <c r="B246" s="6" t="s">
        <v>46</v>
      </c>
      <c r="C246" s="6" t="s">
        <v>47</v>
      </c>
      <c r="D246" s="6" t="s">
        <v>48</v>
      </c>
      <c r="I246" s="6" t="s">
        <v>9</v>
      </c>
    </row>
    <row r="247" spans="1:16">
      <c r="A247" s="6" t="s">
        <v>12</v>
      </c>
      <c r="B247" s="8">
        <f>F202</f>
        <v>0.18970934233838777</v>
      </c>
      <c r="C247" s="8">
        <f>F214</f>
        <v>0.16919987418632496</v>
      </c>
      <c r="D247" s="8">
        <f>F226</f>
        <v>0.16765631496644506</v>
      </c>
      <c r="E247" s="8"/>
      <c r="F247" s="8"/>
      <c r="G247" s="8"/>
      <c r="H247" s="8"/>
      <c r="I247" s="17" t="e">
        <f>B247*$M$241+C247*$M$242+D247*$M$243</f>
        <v>#REF!</v>
      </c>
      <c r="J247" s="11" t="e">
        <f>I247</f>
        <v>#REF!</v>
      </c>
      <c r="K247" s="8"/>
    </row>
    <row r="248" spans="1:16">
      <c r="A248" s="6" t="s">
        <v>13</v>
      </c>
      <c r="B248" s="8">
        <f>F203</f>
        <v>0.26307422271993075</v>
      </c>
      <c r="C248" s="8">
        <f>F215</f>
        <v>0.44342911417503911</v>
      </c>
      <c r="D248" s="8">
        <f>F227</f>
        <v>0.48360449643935777</v>
      </c>
      <c r="E248" s="8"/>
      <c r="F248" s="8"/>
      <c r="G248" s="8"/>
      <c r="H248" s="8"/>
      <c r="I248" s="17" t="e">
        <f t="shared" ref="I248:I249" si="23">B248*$M$241+C248*$M$242+D248*$M$243</f>
        <v>#REF!</v>
      </c>
      <c r="J248" s="11" t="e">
        <f>I248</f>
        <v>#REF!</v>
      </c>
      <c r="K248" s="8"/>
    </row>
    <row r="249" spans="1:16">
      <c r="A249" s="6" t="s">
        <v>14</v>
      </c>
      <c r="B249" s="8">
        <f>F204</f>
        <v>0.5472164349416816</v>
      </c>
      <c r="C249" s="8">
        <f>F216</f>
        <v>0.38737101163863602</v>
      </c>
      <c r="D249" s="8">
        <f>F228</f>
        <v>0.34873918859419722</v>
      </c>
      <c r="E249" s="8"/>
      <c r="F249" s="8"/>
      <c r="G249" s="8"/>
      <c r="H249" s="8"/>
      <c r="I249" s="17" t="e">
        <f t="shared" si="23"/>
        <v>#REF!</v>
      </c>
      <c r="J249" s="11" t="e">
        <f>I249</f>
        <v>#REF!</v>
      </c>
      <c r="K249" s="8"/>
    </row>
    <row r="250" spans="1:16">
      <c r="I250" s="8" t="e">
        <f>SUM(I247:I249)</f>
        <v>#REF!</v>
      </c>
      <c r="J250" s="11" t="e">
        <f>SUM(J247:J249)</f>
        <v>#REF!</v>
      </c>
    </row>
    <row r="256" spans="1:16">
      <c r="M256" s="15"/>
      <c r="P256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</dc:creator>
  <cp:lastModifiedBy>Lazzat Zhaukhanova</cp:lastModifiedBy>
  <cp:lastPrinted>2013-11-29T05:49:21Z</cp:lastPrinted>
  <dcterms:created xsi:type="dcterms:W3CDTF">2013-05-06T08:10:21Z</dcterms:created>
  <dcterms:modified xsi:type="dcterms:W3CDTF">2026-09-23T11:13:42Z</dcterms:modified>
</cp:coreProperties>
</file>